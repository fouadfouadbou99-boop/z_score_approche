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ukhnif\Desktop\"/>
    </mc:Choice>
  </mc:AlternateContent>
  <xr:revisionPtr revIDLastSave="0" documentId="13_ncr:1_{3D122281-3D0B-4FB7-A174-AC3F4C5B2E2E}" xr6:coauthVersionLast="47" xr6:coauthVersionMax="47" xr10:uidLastSave="{00000000-0000-0000-0000-000000000000}"/>
  <bookViews>
    <workbookView xWindow="-110" yWindow="-110" windowWidth="19420" windowHeight="11500" xr2:uid="{6A940F21-E923-4B17-B6A1-13E545653CF1}"/>
  </bookViews>
  <sheets>
    <sheet name="Quant Scor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0" i="1" l="1"/>
  <c r="M8" i="1"/>
  <c r="N8" i="1" s="1"/>
  <c r="M2" i="1"/>
  <c r="N2" i="1" s="1"/>
  <c r="I3" i="1"/>
  <c r="I4" i="1"/>
  <c r="I5" i="1"/>
  <c r="I6" i="1"/>
  <c r="I7" i="1"/>
  <c r="K7" i="1" s="1"/>
  <c r="M7" i="1" s="1"/>
  <c r="N7" i="1" s="1"/>
  <c r="I8" i="1"/>
  <c r="K8" i="1" s="1"/>
  <c r="I9" i="1"/>
  <c r="K9" i="1" s="1"/>
  <c r="M9" i="1" s="1"/>
  <c r="N9" i="1" s="1"/>
  <c r="I10" i="1"/>
  <c r="K10" i="1" s="1"/>
  <c r="M10" i="1" s="1"/>
  <c r="N10" i="1" s="1"/>
  <c r="I11" i="1"/>
  <c r="K11" i="1" s="1"/>
  <c r="M11" i="1" s="1"/>
  <c r="N11" i="1" s="1"/>
  <c r="I12" i="1"/>
  <c r="K12" i="1" s="1"/>
  <c r="M12" i="1" s="1"/>
  <c r="N12" i="1" s="1"/>
  <c r="I13" i="1"/>
  <c r="K13" i="1" s="1"/>
  <c r="M13" i="1" s="1"/>
  <c r="N13" i="1" s="1"/>
  <c r="I14" i="1"/>
  <c r="K14" i="1" s="1"/>
  <c r="M14" i="1" s="1"/>
  <c r="N14" i="1" s="1"/>
  <c r="I15" i="1"/>
  <c r="I16" i="1"/>
  <c r="I17" i="1"/>
  <c r="I18" i="1"/>
  <c r="I19" i="1"/>
  <c r="K19" i="1" s="1"/>
  <c r="M19" i="1" s="1"/>
  <c r="N19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I2" i="1"/>
  <c r="K2" i="1" s="1"/>
  <c r="J2" i="1"/>
  <c r="K18" i="1" l="1"/>
  <c r="M18" i="1" s="1"/>
  <c r="N18" i="1" s="1"/>
  <c r="K6" i="1"/>
  <c r="M6" i="1" s="1"/>
  <c r="N6" i="1" s="1"/>
  <c r="K17" i="1"/>
  <c r="M17" i="1" s="1"/>
  <c r="N17" i="1" s="1"/>
  <c r="K5" i="1"/>
  <c r="M5" i="1" s="1"/>
  <c r="N5" i="1" s="1"/>
  <c r="K16" i="1"/>
  <c r="M16" i="1" s="1"/>
  <c r="N16" i="1" s="1"/>
  <c r="K4" i="1"/>
  <c r="M4" i="1" s="1"/>
  <c r="N4" i="1" s="1"/>
  <c r="K15" i="1"/>
  <c r="M15" i="1" s="1"/>
  <c r="N15" i="1" s="1"/>
  <c r="K3" i="1"/>
  <c r="M3" i="1" s="1"/>
  <c r="N3" i="1" s="1"/>
  <c r="N21" i="1" s="1"/>
  <c r="N22" i="1" s="1"/>
</calcChain>
</file>

<file path=xl/sharedStrings.xml><?xml version="1.0" encoding="utf-8"?>
<sst xmlns="http://schemas.openxmlformats.org/spreadsheetml/2006/main" count="83" uniqueCount="45">
  <si>
    <t>KPI</t>
  </si>
  <si>
    <t>Poids %</t>
  </si>
  <si>
    <t>N-5</t>
  </si>
  <si>
    <t>N-4</t>
  </si>
  <si>
    <t>N-3</t>
  </si>
  <si>
    <t>N-2</t>
  </si>
  <si>
    <t>N-1</t>
  </si>
  <si>
    <t>N</t>
  </si>
  <si>
    <t>Moyenne Hist.</t>
  </si>
  <si>
    <t>Ecart-type</t>
  </si>
  <si>
    <t>Z-Score</t>
  </si>
  <si>
    <t>Sens</t>
  </si>
  <si>
    <t>Z Ajusté</t>
  </si>
  <si>
    <t>Score Pondéré</t>
  </si>
  <si>
    <t>Dette nette/EBITDA</t>
  </si>
  <si>
    <t>Bas</t>
  </si>
  <si>
    <t>Dette nette/Fonds propres</t>
  </si>
  <si>
    <t>Gearing</t>
  </si>
  <si>
    <t>Dette/Actif total</t>
  </si>
  <si>
    <t>Fonds propres/Actif</t>
  </si>
  <si>
    <t>Haut</t>
  </si>
  <si>
    <t>Couverture interets</t>
  </si>
  <si>
    <t>FFO/Dette</t>
  </si>
  <si>
    <t>CFO/Dette</t>
  </si>
  <si>
    <t>FCF/Dette</t>
  </si>
  <si>
    <t>Dette/CFO</t>
  </si>
  <si>
    <t>Marge EBITDA %</t>
  </si>
  <si>
    <t>Marge EBIT %</t>
  </si>
  <si>
    <t>ROA %</t>
  </si>
  <si>
    <t>ROE %</t>
  </si>
  <si>
    <t>Liquidité générale</t>
  </si>
  <si>
    <t>Quick Ratio</t>
  </si>
  <si>
    <t>Trésorerie/Dette CT</t>
  </si>
  <si>
    <t>Croissance CA %</t>
  </si>
  <si>
    <t>Score Quantitatif</t>
  </si>
  <si>
    <t>Moyenne</t>
  </si>
  <si>
    <t>Ecart-Type</t>
  </si>
  <si>
    <t>Pour un modèle de scoring obligataire, je recommande les dénominations suivantes :</t>
  </si>
  <si>
    <t>La distinction est importante :</t>
  </si>
  <si>
    <r>
      <t>FFO / Dette</t>
    </r>
    <r>
      <rPr>
        <sz val="11"/>
        <color theme="1"/>
        <rFont val="Candara"/>
        <family val="2"/>
      </rPr>
      <t xml:space="preserve"> → </t>
    </r>
    <r>
      <rPr>
        <b/>
        <sz val="11"/>
        <color theme="1"/>
        <rFont val="Candara"/>
        <family val="2"/>
      </rPr>
      <t>Capacité d'autofinancement / Dette financière</t>
    </r>
  </si>
  <si>
    <r>
      <t>CFO / Dette</t>
    </r>
    <r>
      <rPr>
        <sz val="11"/>
        <color theme="1"/>
        <rFont val="Candara"/>
        <family val="2"/>
      </rPr>
      <t xml:space="preserve"> → </t>
    </r>
    <r>
      <rPr>
        <b/>
        <sz val="11"/>
        <color theme="1"/>
        <rFont val="Candara"/>
        <family val="2"/>
      </rPr>
      <t>Flux de trésorerie d'exploitation / Dette financière</t>
    </r>
  </si>
  <si>
    <r>
      <t>FCF / Dette</t>
    </r>
    <r>
      <rPr>
        <sz val="11"/>
        <color theme="1"/>
        <rFont val="Candara"/>
        <family val="2"/>
      </rPr>
      <t xml:space="preserve"> → </t>
    </r>
    <r>
      <rPr>
        <b/>
        <sz val="11"/>
        <color theme="1"/>
        <rFont val="Candara"/>
        <family val="2"/>
      </rPr>
      <t>Flux de trésorerie disponible / Dette financière</t>
    </r>
  </si>
  <si>
    <r>
      <t>FFO (CAF)</t>
    </r>
    <r>
      <rPr>
        <sz val="11"/>
        <color theme="1"/>
        <rFont val="Candara"/>
        <family val="2"/>
      </rPr>
      <t xml:space="preserve"> : mesure la capacité théorique de génération de ressources avant variation du BFR et investissements.</t>
    </r>
  </si>
  <si>
    <r>
      <t>CFO</t>
    </r>
    <r>
      <rPr>
        <sz val="11"/>
        <color theme="1"/>
        <rFont val="Candara"/>
        <family val="2"/>
      </rPr>
      <t xml:space="preserve"> : mesure les flux réellement encaissés issus de l'exploitation après prise en compte du BFR.</t>
    </r>
  </si>
  <si>
    <r>
      <t>FCF</t>
    </r>
    <r>
      <rPr>
        <sz val="11"/>
        <color theme="1"/>
        <rFont val="Candara"/>
        <family val="2"/>
      </rPr>
      <t xml:space="preserve"> : mesure la trésorerie restant disponible après les investissements nécessaires à l'activité.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</si>
</sst>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7" formatCode="_-* #,##0.00\ _€_-;\-* #,##0.00\ _€_-;_-* &quot;-&quot;??\ _€_-;_-@_-"/>
    <numFmt numFmtId="168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ndara"/>
      <family val="2"/>
    </font>
    <font>
      <sz val="11"/>
      <color rgb="FF000000"/>
      <name val="Candara"/>
      <family val="2"/>
    </font>
    <font>
      <b/>
      <sz val="11"/>
      <color rgb="FFFFFFFF"/>
      <name val="Candara"/>
      <family val="2"/>
    </font>
    <font>
      <b/>
      <sz val="11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43" fontId="3" fillId="0" borderId="0" xfId="1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168" fontId="3" fillId="0" borderId="0" xfId="2" applyNumberFormat="1" applyFont="1" applyAlignment="1">
      <alignment horizontal="center" vertical="center" wrapText="1"/>
    </xf>
    <xf numFmtId="43" fontId="2" fillId="0" borderId="0" xfId="0" applyNumberFormat="1" applyFont="1" applyAlignment="1">
      <alignment horizontal="center" vertical="center" wrapText="1"/>
    </xf>
    <xf numFmtId="43" fontId="4" fillId="2" borderId="0" xfId="1" applyFont="1" applyFill="1" applyAlignment="1">
      <alignment horizontal="center" vertical="center" wrapText="1"/>
    </xf>
    <xf numFmtId="43" fontId="2" fillId="0" borderId="0" xfId="1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3BE0E-EDEE-48A3-9445-D41CCA38F6D0}">
  <sheetPr>
    <tabColor rgb="FFC00000"/>
  </sheetPr>
  <dimension ref="A1:U35"/>
  <sheetViews>
    <sheetView tabSelected="1" topLeftCell="E4" workbookViewId="0">
      <selection activeCell="D21" sqref="D21"/>
    </sheetView>
  </sheetViews>
  <sheetFormatPr baseColWidth="10" defaultRowHeight="15" x14ac:dyDescent="0.25"/>
  <cols>
    <col min="1" max="1" width="34.7109375" style="1" customWidth="1"/>
    <col min="2" max="8" width="11.5703125" style="1" bestFit="1" customWidth="1"/>
    <col min="9" max="10" width="12.140625" style="1" bestFit="1" customWidth="1"/>
    <col min="11" max="11" width="11.5703125" style="1" bestFit="1" customWidth="1"/>
    <col min="12" max="12" width="11.42578125" style="1"/>
    <col min="13" max="13" width="11.5703125" style="1" bestFit="1" customWidth="1"/>
    <col min="14" max="15" width="11.42578125" style="1"/>
    <col min="16" max="18" width="11.5703125" style="1" bestFit="1" customWidth="1"/>
    <col min="19" max="19" width="11.42578125" style="1"/>
    <col min="20" max="20" width="12.42578125" style="9" bestFit="1" customWidth="1"/>
    <col min="21" max="21" width="12.5703125" style="9" bestFit="1" customWidth="1"/>
    <col min="22" max="16384" width="11.42578125" style="1"/>
  </cols>
  <sheetData>
    <row r="1" spans="1:21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35</v>
      </c>
      <c r="J1" s="3" t="s">
        <v>36</v>
      </c>
      <c r="K1" s="3" t="s">
        <v>10</v>
      </c>
      <c r="L1" s="3" t="s">
        <v>11</v>
      </c>
      <c r="M1" s="3" t="s">
        <v>12</v>
      </c>
      <c r="N1" s="3" t="s">
        <v>13</v>
      </c>
      <c r="O1" s="3"/>
      <c r="P1" s="3" t="s">
        <v>8</v>
      </c>
      <c r="Q1" s="3" t="s">
        <v>9</v>
      </c>
      <c r="R1" s="3" t="s">
        <v>10</v>
      </c>
      <c r="S1" s="3" t="s">
        <v>11</v>
      </c>
      <c r="T1" s="8" t="s">
        <v>12</v>
      </c>
      <c r="U1" s="8" t="s">
        <v>13</v>
      </c>
    </row>
    <row r="2" spans="1:21" x14ac:dyDescent="0.25">
      <c r="A2" s="2" t="s">
        <v>14</v>
      </c>
      <c r="B2" s="2">
        <v>8</v>
      </c>
      <c r="C2" s="2">
        <v>4.2</v>
      </c>
      <c r="D2" s="2">
        <v>4</v>
      </c>
      <c r="E2" s="2">
        <v>3.8</v>
      </c>
      <c r="F2" s="2">
        <v>3.5</v>
      </c>
      <c r="G2" s="2">
        <v>3.2</v>
      </c>
      <c r="H2" s="2">
        <v>3</v>
      </c>
      <c r="I2" s="4">
        <f>AVERAGE(C2:G2)</f>
        <v>3.7399999999999998</v>
      </c>
      <c r="J2" s="4">
        <f>_xlfn.STDEV.S(C2:G2)</f>
        <v>0.39749213828703578</v>
      </c>
      <c r="K2" s="5">
        <f>+(H2-I2)/J2</f>
        <v>-1.8616720400785216</v>
      </c>
      <c r="L2" s="2" t="s">
        <v>15</v>
      </c>
      <c r="M2" s="4">
        <f>IF(L2="Bas",-K2,K2)</f>
        <v>1.8616720400785216</v>
      </c>
      <c r="N2" s="4">
        <f>M2*B2</f>
        <v>14.893376320628173</v>
      </c>
      <c r="O2" s="2"/>
      <c r="P2" s="4">
        <v>3.74</v>
      </c>
      <c r="Q2" s="4">
        <v>0.39749213799999999</v>
      </c>
      <c r="R2" s="4">
        <v>-1.86167204</v>
      </c>
      <c r="S2" s="2" t="s">
        <v>15</v>
      </c>
      <c r="T2" s="4">
        <v>1.86167204</v>
      </c>
      <c r="U2" s="4">
        <v>14.89337632</v>
      </c>
    </row>
    <row r="3" spans="1:21" x14ac:dyDescent="0.25">
      <c r="A3" s="2" t="s">
        <v>16</v>
      </c>
      <c r="B3" s="2">
        <v>6</v>
      </c>
      <c r="C3" s="2">
        <v>1.2</v>
      </c>
      <c r="D3" s="2">
        <v>1.1000000000000001</v>
      </c>
      <c r="E3" s="2">
        <v>1</v>
      </c>
      <c r="F3" s="2">
        <v>0.95</v>
      </c>
      <c r="G3" s="2">
        <v>0.9</v>
      </c>
      <c r="H3" s="2">
        <v>0.8</v>
      </c>
      <c r="I3" s="4">
        <f t="shared" ref="I3:I19" si="0">AVERAGE(C3:G3)</f>
        <v>1.03</v>
      </c>
      <c r="J3" s="4">
        <f t="shared" ref="J3:J19" si="1">_xlfn.STDEV.S(C3:G3)</f>
        <v>0.12041594578792278</v>
      </c>
      <c r="K3" s="5">
        <f t="shared" ref="K3:K19" si="2">+(H3-I3)/J3</f>
        <v>-1.9100460366360219</v>
      </c>
      <c r="L3" s="2" t="s">
        <v>15</v>
      </c>
      <c r="M3" s="4">
        <f t="shared" ref="M3:M19" si="3">IF(L3="Bas",-K3,K3)</f>
        <v>1.9100460366360219</v>
      </c>
      <c r="N3" s="4">
        <f t="shared" ref="N3:N19" si="4">M3*B3</f>
        <v>11.460276219816132</v>
      </c>
      <c r="O3" s="2"/>
      <c r="P3" s="4">
        <v>1.03</v>
      </c>
      <c r="Q3" s="4">
        <v>0.120415946</v>
      </c>
      <c r="R3" s="4">
        <v>-1.9100460370000001</v>
      </c>
      <c r="S3" s="2" t="s">
        <v>15</v>
      </c>
      <c r="T3" s="4">
        <v>1.9100460370000001</v>
      </c>
      <c r="U3" s="4">
        <v>11.460276220000001</v>
      </c>
    </row>
    <row r="4" spans="1:21" x14ac:dyDescent="0.25">
      <c r="A4" s="2" t="s">
        <v>17</v>
      </c>
      <c r="B4" s="2">
        <v>6</v>
      </c>
      <c r="C4" s="2">
        <v>1.1000000000000001</v>
      </c>
      <c r="D4" s="2">
        <v>1</v>
      </c>
      <c r="E4" s="2">
        <v>1</v>
      </c>
      <c r="F4" s="2">
        <v>0.9</v>
      </c>
      <c r="G4" s="2">
        <v>0.85</v>
      </c>
      <c r="H4" s="2">
        <v>0.75</v>
      </c>
      <c r="I4" s="4">
        <f t="shared" si="0"/>
        <v>0.97</v>
      </c>
      <c r="J4" s="4">
        <f t="shared" si="1"/>
        <v>9.7467943448089664E-2</v>
      </c>
      <c r="K4" s="5">
        <f t="shared" si="2"/>
        <v>-2.2571523745873381</v>
      </c>
      <c r="L4" s="2" t="s">
        <v>15</v>
      </c>
      <c r="M4" s="4">
        <f t="shared" si="3"/>
        <v>2.2571523745873381</v>
      </c>
      <c r="N4" s="4">
        <f t="shared" si="4"/>
        <v>13.542914247524028</v>
      </c>
      <c r="O4" s="2"/>
      <c r="P4" s="4">
        <v>0.97</v>
      </c>
      <c r="Q4" s="4">
        <v>9.7467943000000001E-2</v>
      </c>
      <c r="R4" s="4">
        <v>-2.257152375</v>
      </c>
      <c r="S4" s="2" t="s">
        <v>15</v>
      </c>
      <c r="T4" s="4">
        <v>2.257152375</v>
      </c>
      <c r="U4" s="4">
        <v>13.542914250000001</v>
      </c>
    </row>
    <row r="5" spans="1:21" x14ac:dyDescent="0.25">
      <c r="A5" s="2" t="s">
        <v>18</v>
      </c>
      <c r="B5" s="2">
        <v>5</v>
      </c>
      <c r="C5" s="2">
        <v>0.55000000000000004</v>
      </c>
      <c r="D5" s="2">
        <v>0.54</v>
      </c>
      <c r="E5" s="2">
        <v>0.53</v>
      </c>
      <c r="F5" s="2">
        <v>0.5</v>
      </c>
      <c r="G5" s="2">
        <v>0.48</v>
      </c>
      <c r="H5" s="2">
        <v>0.45</v>
      </c>
      <c r="I5" s="4">
        <f t="shared" si="0"/>
        <v>0.52</v>
      </c>
      <c r="J5" s="4">
        <f t="shared" si="1"/>
        <v>2.9154759474226528E-2</v>
      </c>
      <c r="K5" s="5">
        <f t="shared" si="2"/>
        <v>-2.4009801919951217</v>
      </c>
      <c r="L5" s="2" t="s">
        <v>15</v>
      </c>
      <c r="M5" s="4">
        <f t="shared" si="3"/>
        <v>2.4009801919951217</v>
      </c>
      <c r="N5" s="4">
        <f t="shared" si="4"/>
        <v>12.004900959975608</v>
      </c>
      <c r="O5" s="2"/>
      <c r="P5" s="4">
        <v>0.52</v>
      </c>
      <c r="Q5" s="4">
        <v>2.9154758999999999E-2</v>
      </c>
      <c r="R5" s="4">
        <v>-2.400980192</v>
      </c>
      <c r="S5" s="2" t="s">
        <v>15</v>
      </c>
      <c r="T5" s="4">
        <v>2.400980192</v>
      </c>
      <c r="U5" s="4">
        <v>12.004900960000001</v>
      </c>
    </row>
    <row r="6" spans="1:21" x14ac:dyDescent="0.25">
      <c r="A6" s="2" t="s">
        <v>19</v>
      </c>
      <c r="B6" s="2">
        <v>5</v>
      </c>
      <c r="C6" s="2">
        <v>0.25</v>
      </c>
      <c r="D6" s="2">
        <v>0.26</v>
      </c>
      <c r="E6" s="2">
        <v>0.27</v>
      </c>
      <c r="F6" s="2">
        <v>0.28999999999999998</v>
      </c>
      <c r="G6" s="2">
        <v>0.31</v>
      </c>
      <c r="H6" s="2">
        <v>0.34</v>
      </c>
      <c r="I6" s="4">
        <f t="shared" si="0"/>
        <v>0.27600000000000002</v>
      </c>
      <c r="J6" s="4">
        <f t="shared" si="1"/>
        <v>2.4083189157584586E-2</v>
      </c>
      <c r="K6" s="5">
        <f t="shared" si="2"/>
        <v>2.6574553553196796</v>
      </c>
      <c r="L6" s="2" t="s">
        <v>20</v>
      </c>
      <c r="M6" s="4">
        <f t="shared" si="3"/>
        <v>2.6574553553196796</v>
      </c>
      <c r="N6" s="4">
        <f t="shared" si="4"/>
        <v>13.287276776598398</v>
      </c>
      <c r="O6" s="2"/>
      <c r="P6" s="4">
        <v>0.27600000000000002</v>
      </c>
      <c r="Q6" s="4">
        <v>2.4083189000000001E-2</v>
      </c>
      <c r="R6" s="4">
        <v>2.6574553550000002</v>
      </c>
      <c r="S6" s="2" t="s">
        <v>20</v>
      </c>
      <c r="T6" s="4">
        <v>2.6574553550000002</v>
      </c>
      <c r="U6" s="4">
        <v>13.287276779999999</v>
      </c>
    </row>
    <row r="7" spans="1:21" x14ac:dyDescent="0.25">
      <c r="A7" s="2" t="s">
        <v>21</v>
      </c>
      <c r="B7" s="2">
        <v>8</v>
      </c>
      <c r="C7" s="2">
        <v>2.5</v>
      </c>
      <c r="D7" s="2">
        <v>3</v>
      </c>
      <c r="E7" s="2">
        <v>3.4</v>
      </c>
      <c r="F7" s="2">
        <v>3.8</v>
      </c>
      <c r="G7" s="2">
        <v>4.2</v>
      </c>
      <c r="H7" s="2">
        <v>4.8</v>
      </c>
      <c r="I7" s="4">
        <f t="shared" si="0"/>
        <v>3.38</v>
      </c>
      <c r="J7" s="4">
        <f t="shared" si="1"/>
        <v>0.66483080554378793</v>
      </c>
      <c r="K7" s="5">
        <f t="shared" si="2"/>
        <v>2.1358817734664584</v>
      </c>
      <c r="L7" s="2" t="s">
        <v>20</v>
      </c>
      <c r="M7" s="4">
        <f t="shared" si="3"/>
        <v>2.1358817734664584</v>
      </c>
      <c r="N7" s="4">
        <f t="shared" si="4"/>
        <v>17.087054187731667</v>
      </c>
      <c r="O7" s="2"/>
      <c r="P7" s="4">
        <v>3.38</v>
      </c>
      <c r="Q7" s="4">
        <v>0.664830806</v>
      </c>
      <c r="R7" s="4">
        <v>2.1358817729999999</v>
      </c>
      <c r="S7" s="2" t="s">
        <v>20</v>
      </c>
      <c r="T7" s="4">
        <v>2.1358817729999999</v>
      </c>
      <c r="U7" s="4">
        <v>17.08705419</v>
      </c>
    </row>
    <row r="8" spans="1:21" x14ac:dyDescent="0.25">
      <c r="A8" s="2" t="s">
        <v>22</v>
      </c>
      <c r="B8" s="2">
        <v>6</v>
      </c>
      <c r="C8" s="2">
        <v>0.12</v>
      </c>
      <c r="D8" s="2">
        <v>0.13</v>
      </c>
      <c r="E8" s="2">
        <v>0.14000000000000001</v>
      </c>
      <c r="F8" s="2">
        <v>0.16</v>
      </c>
      <c r="G8" s="2">
        <v>0.18</v>
      </c>
      <c r="H8" s="2">
        <v>0.22</v>
      </c>
      <c r="I8" s="4">
        <f t="shared" si="0"/>
        <v>0.14599999999999999</v>
      </c>
      <c r="J8" s="4">
        <f t="shared" si="1"/>
        <v>2.4083189157584676E-2</v>
      </c>
      <c r="K8" s="5">
        <f t="shared" si="2"/>
        <v>3.0726827545883686</v>
      </c>
      <c r="L8" s="2" t="s">
        <v>20</v>
      </c>
      <c r="M8" s="4">
        <f t="shared" si="3"/>
        <v>3.0726827545883686</v>
      </c>
      <c r="N8" s="4">
        <f t="shared" si="4"/>
        <v>18.436096527530211</v>
      </c>
      <c r="O8" s="2"/>
      <c r="P8" s="4">
        <v>0.14599999999999999</v>
      </c>
      <c r="Q8" s="4">
        <v>2.4083189000000001E-2</v>
      </c>
      <c r="R8" s="4">
        <v>3.0726827550000002</v>
      </c>
      <c r="S8" s="2" t="s">
        <v>20</v>
      </c>
      <c r="T8" s="4">
        <v>3.0726827550000002</v>
      </c>
      <c r="U8" s="4">
        <v>18.43609653</v>
      </c>
    </row>
    <row r="9" spans="1:21" x14ac:dyDescent="0.25">
      <c r="A9" s="2" t="s">
        <v>23</v>
      </c>
      <c r="B9" s="2">
        <v>6</v>
      </c>
      <c r="C9" s="2">
        <v>0.15</v>
      </c>
      <c r="D9" s="2">
        <v>0.16</v>
      </c>
      <c r="E9" s="2">
        <v>0.18</v>
      </c>
      <c r="F9" s="2">
        <v>0.2</v>
      </c>
      <c r="G9" s="2">
        <v>0.22</v>
      </c>
      <c r="H9" s="2">
        <v>0.25</v>
      </c>
      <c r="I9" s="4">
        <f t="shared" si="0"/>
        <v>0.182</v>
      </c>
      <c r="J9" s="4">
        <f t="shared" si="1"/>
        <v>2.8635642126552851E-2</v>
      </c>
      <c r="K9" s="5">
        <f t="shared" si="2"/>
        <v>2.3746630056165539</v>
      </c>
      <c r="L9" s="2" t="s">
        <v>20</v>
      </c>
      <c r="M9" s="4">
        <f t="shared" si="3"/>
        <v>2.3746630056165539</v>
      </c>
      <c r="N9" s="4">
        <f t="shared" si="4"/>
        <v>14.247978033699322</v>
      </c>
      <c r="O9" s="2"/>
      <c r="P9" s="4">
        <v>0.182</v>
      </c>
      <c r="Q9" s="4">
        <v>2.8635641999999999E-2</v>
      </c>
      <c r="R9" s="4">
        <v>2.374663006</v>
      </c>
      <c r="S9" s="2" t="s">
        <v>20</v>
      </c>
      <c r="T9" s="4">
        <v>2.374663006</v>
      </c>
      <c r="U9" s="4">
        <v>14.247978030000001</v>
      </c>
    </row>
    <row r="10" spans="1:21" x14ac:dyDescent="0.25">
      <c r="A10" s="2" t="s">
        <v>24</v>
      </c>
      <c r="B10" s="2">
        <v>5</v>
      </c>
      <c r="C10" s="2">
        <v>0.08</v>
      </c>
      <c r="D10" s="2">
        <v>0.09</v>
      </c>
      <c r="E10" s="2">
        <v>0.1</v>
      </c>
      <c r="F10" s="2">
        <v>0.12</v>
      </c>
      <c r="G10" s="2">
        <v>0.13</v>
      </c>
      <c r="H10" s="2">
        <v>0.15</v>
      </c>
      <c r="I10" s="4">
        <f t="shared" si="0"/>
        <v>0.10400000000000001</v>
      </c>
      <c r="J10" s="4">
        <f t="shared" si="1"/>
        <v>2.0736441353327716E-2</v>
      </c>
      <c r="K10" s="5">
        <f t="shared" si="2"/>
        <v>2.2183169819838957</v>
      </c>
      <c r="L10" s="2" t="s">
        <v>20</v>
      </c>
      <c r="M10" s="4">
        <f t="shared" si="3"/>
        <v>2.2183169819838957</v>
      </c>
      <c r="N10" s="4">
        <f t="shared" si="4"/>
        <v>11.091584909919479</v>
      </c>
      <c r="O10" s="2"/>
      <c r="P10" s="4">
        <v>0.104</v>
      </c>
      <c r="Q10" s="4">
        <v>2.0736441000000001E-2</v>
      </c>
      <c r="R10" s="4">
        <v>2.2183169820000002</v>
      </c>
      <c r="S10" s="2" t="s">
        <v>20</v>
      </c>
      <c r="T10" s="4">
        <v>2.2183169820000002</v>
      </c>
      <c r="U10" s="4">
        <v>11.09158491</v>
      </c>
    </row>
    <row r="11" spans="1:21" x14ac:dyDescent="0.25">
      <c r="A11" s="2" t="s">
        <v>25</v>
      </c>
      <c r="B11" s="2">
        <v>5</v>
      </c>
      <c r="C11" s="2">
        <v>6</v>
      </c>
      <c r="D11" s="2">
        <v>5.8</v>
      </c>
      <c r="E11" s="2">
        <v>5.3</v>
      </c>
      <c r="F11" s="2">
        <v>4.8</v>
      </c>
      <c r="G11" s="2">
        <v>4.5</v>
      </c>
      <c r="H11" s="2">
        <v>4</v>
      </c>
      <c r="I11" s="4">
        <f t="shared" si="0"/>
        <v>5.28</v>
      </c>
      <c r="J11" s="4">
        <f t="shared" si="1"/>
        <v>0.63796551630946052</v>
      </c>
      <c r="K11" s="5">
        <f t="shared" si="2"/>
        <v>-2.0063780365506552</v>
      </c>
      <c r="L11" s="2" t="s">
        <v>15</v>
      </c>
      <c r="M11" s="4">
        <f t="shared" si="3"/>
        <v>2.0063780365506552</v>
      </c>
      <c r="N11" s="4">
        <f t="shared" si="4"/>
        <v>10.031890182753276</v>
      </c>
      <c r="O11" s="2"/>
      <c r="P11" s="4">
        <v>5.28</v>
      </c>
      <c r="Q11" s="4">
        <v>0.63796551599999995</v>
      </c>
      <c r="R11" s="4">
        <v>-2.0063780370000002</v>
      </c>
      <c r="S11" s="2" t="s">
        <v>15</v>
      </c>
      <c r="T11" s="4">
        <v>2.0063780370000002</v>
      </c>
      <c r="U11" s="4">
        <v>10.03189018</v>
      </c>
    </row>
    <row r="12" spans="1:21" x14ac:dyDescent="0.25">
      <c r="A12" s="2" t="s">
        <v>26</v>
      </c>
      <c r="B12" s="2">
        <v>6</v>
      </c>
      <c r="C12" s="2">
        <v>18</v>
      </c>
      <c r="D12" s="2">
        <v>19</v>
      </c>
      <c r="E12" s="2">
        <v>20</v>
      </c>
      <c r="F12" s="2">
        <v>21</v>
      </c>
      <c r="G12" s="2">
        <v>22</v>
      </c>
      <c r="H12" s="2">
        <v>24</v>
      </c>
      <c r="I12" s="4">
        <f t="shared" si="0"/>
        <v>20</v>
      </c>
      <c r="J12" s="4">
        <f t="shared" si="1"/>
        <v>1.5811388300841898</v>
      </c>
      <c r="K12" s="5">
        <f t="shared" si="2"/>
        <v>2.5298221281347035</v>
      </c>
      <c r="L12" s="2" t="s">
        <v>20</v>
      </c>
      <c r="M12" s="4">
        <f t="shared" si="3"/>
        <v>2.5298221281347035</v>
      </c>
      <c r="N12" s="4">
        <f t="shared" si="4"/>
        <v>15.17893276880822</v>
      </c>
      <c r="O12" s="2"/>
      <c r="P12" s="4">
        <v>20</v>
      </c>
      <c r="Q12" s="4">
        <v>1.58113883</v>
      </c>
      <c r="R12" s="4">
        <v>2.5298221280000002</v>
      </c>
      <c r="S12" s="2" t="s">
        <v>20</v>
      </c>
      <c r="T12" s="4">
        <v>2.5298221280000002</v>
      </c>
      <c r="U12" s="4">
        <v>15.178932769999999</v>
      </c>
    </row>
    <row r="13" spans="1:21" x14ac:dyDescent="0.25">
      <c r="A13" s="2" t="s">
        <v>27</v>
      </c>
      <c r="B13" s="2">
        <v>4</v>
      </c>
      <c r="C13" s="2">
        <v>12</v>
      </c>
      <c r="D13" s="2">
        <v>12.5</v>
      </c>
      <c r="E13" s="2">
        <v>13</v>
      </c>
      <c r="F13" s="2">
        <v>14</v>
      </c>
      <c r="G13" s="2">
        <v>14.5</v>
      </c>
      <c r="H13" s="2">
        <v>16</v>
      </c>
      <c r="I13" s="4">
        <f t="shared" si="0"/>
        <v>13.2</v>
      </c>
      <c r="J13" s="4">
        <f t="shared" si="1"/>
        <v>1.0368220676663862</v>
      </c>
      <c r="K13" s="5">
        <f t="shared" si="2"/>
        <v>2.7005598041543082</v>
      </c>
      <c r="L13" s="2" t="s">
        <v>20</v>
      </c>
      <c r="M13" s="4">
        <f t="shared" si="3"/>
        <v>2.7005598041543082</v>
      </c>
      <c r="N13" s="4">
        <f t="shared" si="4"/>
        <v>10.802239216617233</v>
      </c>
      <c r="O13" s="2"/>
      <c r="P13" s="4">
        <v>13.2</v>
      </c>
      <c r="Q13" s="4">
        <v>1.036822068</v>
      </c>
      <c r="R13" s="4">
        <v>2.7005598040000001</v>
      </c>
      <c r="S13" s="2" t="s">
        <v>20</v>
      </c>
      <c r="T13" s="4">
        <v>2.7005598040000001</v>
      </c>
      <c r="U13" s="4">
        <v>10.802239220000001</v>
      </c>
    </row>
    <row r="14" spans="1:21" x14ac:dyDescent="0.25">
      <c r="A14" s="2" t="s">
        <v>28</v>
      </c>
      <c r="B14" s="2">
        <v>4</v>
      </c>
      <c r="C14" s="2">
        <v>3</v>
      </c>
      <c r="D14" s="2">
        <v>3.5</v>
      </c>
      <c r="E14" s="2">
        <v>4</v>
      </c>
      <c r="F14" s="2">
        <v>4.5</v>
      </c>
      <c r="G14" s="2">
        <v>5</v>
      </c>
      <c r="H14" s="2">
        <v>5.5</v>
      </c>
      <c r="I14" s="4">
        <f t="shared" si="0"/>
        <v>4</v>
      </c>
      <c r="J14" s="4">
        <f t="shared" si="1"/>
        <v>0.79056941504209488</v>
      </c>
      <c r="K14" s="5">
        <f t="shared" si="2"/>
        <v>1.8973665961010275</v>
      </c>
      <c r="L14" s="2" t="s">
        <v>20</v>
      </c>
      <c r="M14" s="4">
        <f t="shared" si="3"/>
        <v>1.8973665961010275</v>
      </c>
      <c r="N14" s="4">
        <f t="shared" si="4"/>
        <v>7.5894663844041101</v>
      </c>
      <c r="O14" s="2"/>
      <c r="P14" s="4">
        <v>4</v>
      </c>
      <c r="Q14" s="4">
        <v>0.790569415</v>
      </c>
      <c r="R14" s="4">
        <v>1.8973665959999999</v>
      </c>
      <c r="S14" s="2" t="s">
        <v>20</v>
      </c>
      <c r="T14" s="4">
        <v>1.8973665959999999</v>
      </c>
      <c r="U14" s="4">
        <v>7.5894663839999996</v>
      </c>
    </row>
    <row r="15" spans="1:21" x14ac:dyDescent="0.25">
      <c r="A15" s="2" t="s">
        <v>29</v>
      </c>
      <c r="B15" s="2">
        <v>4</v>
      </c>
      <c r="C15" s="2">
        <v>8</v>
      </c>
      <c r="D15" s="2">
        <v>9</v>
      </c>
      <c r="E15" s="2">
        <v>10</v>
      </c>
      <c r="F15" s="2">
        <v>11</v>
      </c>
      <c r="G15" s="2">
        <v>12</v>
      </c>
      <c r="H15" s="2">
        <v>14</v>
      </c>
      <c r="I15" s="4">
        <f t="shared" si="0"/>
        <v>10</v>
      </c>
      <c r="J15" s="4">
        <f t="shared" si="1"/>
        <v>1.5811388300841898</v>
      </c>
      <c r="K15" s="5">
        <f t="shared" si="2"/>
        <v>2.5298221281347035</v>
      </c>
      <c r="L15" s="2" t="s">
        <v>20</v>
      </c>
      <c r="M15" s="4">
        <f t="shared" si="3"/>
        <v>2.5298221281347035</v>
      </c>
      <c r="N15" s="4">
        <f t="shared" si="4"/>
        <v>10.119288512538814</v>
      </c>
      <c r="O15" s="2"/>
      <c r="P15" s="4">
        <v>10</v>
      </c>
      <c r="Q15" s="4">
        <v>1.58113883</v>
      </c>
      <c r="R15" s="4">
        <v>2.5298221280000002</v>
      </c>
      <c r="S15" s="2" t="s">
        <v>20</v>
      </c>
      <c r="T15" s="4">
        <v>2.5298221280000002</v>
      </c>
      <c r="U15" s="4">
        <v>10.119288510000001</v>
      </c>
    </row>
    <row r="16" spans="1:21" x14ac:dyDescent="0.25">
      <c r="A16" s="2" t="s">
        <v>30</v>
      </c>
      <c r="B16" s="2">
        <v>4</v>
      </c>
      <c r="C16" s="2">
        <v>1</v>
      </c>
      <c r="D16" s="2">
        <v>1.1000000000000001</v>
      </c>
      <c r="E16" s="2">
        <v>1.1000000000000001</v>
      </c>
      <c r="F16" s="2">
        <v>1.2</v>
      </c>
      <c r="G16" s="2">
        <v>1.3</v>
      </c>
      <c r="H16" s="2">
        <v>1.4</v>
      </c>
      <c r="I16" s="4">
        <f t="shared" si="0"/>
        <v>1.1400000000000001</v>
      </c>
      <c r="J16" s="4">
        <f t="shared" si="1"/>
        <v>0.11401754250991379</v>
      </c>
      <c r="K16" s="5">
        <f t="shared" si="2"/>
        <v>2.2803508501982743</v>
      </c>
      <c r="L16" s="2" t="s">
        <v>20</v>
      </c>
      <c r="M16" s="4">
        <f t="shared" si="3"/>
        <v>2.2803508501982743</v>
      </c>
      <c r="N16" s="4">
        <f t="shared" si="4"/>
        <v>9.1214034007930973</v>
      </c>
      <c r="O16" s="2"/>
      <c r="P16" s="4">
        <v>1.1399999999999999</v>
      </c>
      <c r="Q16" s="4">
        <v>0.114017543</v>
      </c>
      <c r="R16" s="4">
        <v>2.28035085</v>
      </c>
      <c r="S16" s="2" t="s">
        <v>20</v>
      </c>
      <c r="T16" s="4">
        <v>2.28035085</v>
      </c>
      <c r="U16" s="4">
        <v>9.1214034010000002</v>
      </c>
    </row>
    <row r="17" spans="1:21" x14ac:dyDescent="0.25">
      <c r="A17" s="2" t="s">
        <v>31</v>
      </c>
      <c r="B17" s="2">
        <v>3</v>
      </c>
      <c r="C17" s="2">
        <v>0.8</v>
      </c>
      <c r="D17" s="2">
        <v>0.85</v>
      </c>
      <c r="E17" s="2">
        <v>0.9</v>
      </c>
      <c r="F17" s="2">
        <v>1</v>
      </c>
      <c r="G17" s="2">
        <v>1.05</v>
      </c>
      <c r="H17" s="2">
        <v>1.1000000000000001</v>
      </c>
      <c r="I17" s="4">
        <f t="shared" si="0"/>
        <v>0.91999999999999993</v>
      </c>
      <c r="J17" s="4">
        <f t="shared" si="1"/>
        <v>0.10368220676663986</v>
      </c>
      <c r="K17" s="5">
        <f t="shared" si="2"/>
        <v>1.7360741598134641</v>
      </c>
      <c r="L17" s="2" t="s">
        <v>20</v>
      </c>
      <c r="M17" s="4">
        <f t="shared" si="3"/>
        <v>1.7360741598134641</v>
      </c>
      <c r="N17" s="4">
        <f t="shared" si="4"/>
        <v>5.2082224794403924</v>
      </c>
      <c r="O17" s="2"/>
      <c r="P17" s="4">
        <v>0.92</v>
      </c>
      <c r="Q17" s="4">
        <v>0.103682207</v>
      </c>
      <c r="R17" s="4">
        <v>1.73607416</v>
      </c>
      <c r="S17" s="2" t="s">
        <v>20</v>
      </c>
      <c r="T17" s="4">
        <v>1.73607416</v>
      </c>
      <c r="U17" s="4">
        <v>5.2082224789999998</v>
      </c>
    </row>
    <row r="18" spans="1:21" x14ac:dyDescent="0.25">
      <c r="A18" s="2" t="s">
        <v>32</v>
      </c>
      <c r="B18" s="2">
        <v>3</v>
      </c>
      <c r="C18" s="2">
        <v>0.4</v>
      </c>
      <c r="D18" s="2">
        <v>0.45</v>
      </c>
      <c r="E18" s="2">
        <v>0.5</v>
      </c>
      <c r="F18" s="2">
        <v>0.55000000000000004</v>
      </c>
      <c r="G18" s="2">
        <v>0.6</v>
      </c>
      <c r="H18" s="2">
        <v>0.7</v>
      </c>
      <c r="I18" s="4">
        <f t="shared" si="0"/>
        <v>0.5</v>
      </c>
      <c r="J18" s="4">
        <f t="shared" si="1"/>
        <v>7.9056941504209347E-2</v>
      </c>
      <c r="K18" s="5">
        <f t="shared" si="2"/>
        <v>2.5298221281347071</v>
      </c>
      <c r="L18" s="2" t="s">
        <v>20</v>
      </c>
      <c r="M18" s="4">
        <f t="shared" si="3"/>
        <v>2.5298221281347071</v>
      </c>
      <c r="N18" s="4">
        <f t="shared" si="4"/>
        <v>7.5894663844041208</v>
      </c>
      <c r="O18" s="2"/>
      <c r="P18" s="4">
        <v>0.5</v>
      </c>
      <c r="Q18" s="4">
        <v>7.9056942000000005E-2</v>
      </c>
      <c r="R18" s="4">
        <v>2.5298221280000002</v>
      </c>
      <c r="S18" s="2" t="s">
        <v>20</v>
      </c>
      <c r="T18" s="4">
        <v>2.5298221280000002</v>
      </c>
      <c r="U18" s="4">
        <v>7.5894663839999996</v>
      </c>
    </row>
    <row r="19" spans="1:21" x14ac:dyDescent="0.25">
      <c r="A19" s="2" t="s">
        <v>33</v>
      </c>
      <c r="B19" s="2">
        <v>2</v>
      </c>
      <c r="C19" s="2">
        <v>2</v>
      </c>
      <c r="D19" s="2">
        <v>3</v>
      </c>
      <c r="E19" s="2">
        <v>4</v>
      </c>
      <c r="F19" s="2">
        <v>5</v>
      </c>
      <c r="G19" s="2">
        <v>6</v>
      </c>
      <c r="H19" s="2">
        <v>8</v>
      </c>
      <c r="I19" s="4">
        <f t="shared" si="0"/>
        <v>4</v>
      </c>
      <c r="J19" s="4">
        <f t="shared" si="1"/>
        <v>1.5811388300841898</v>
      </c>
      <c r="K19" s="5">
        <f t="shared" si="2"/>
        <v>2.5298221281347035</v>
      </c>
      <c r="L19" s="2" t="s">
        <v>20</v>
      </c>
      <c r="M19" s="4">
        <f t="shared" si="3"/>
        <v>2.5298221281347035</v>
      </c>
      <c r="N19" s="4">
        <f t="shared" si="4"/>
        <v>5.0596442562694071</v>
      </c>
      <c r="O19" s="2"/>
      <c r="P19" s="4">
        <v>4</v>
      </c>
      <c r="Q19" s="4">
        <v>1.58113883</v>
      </c>
      <c r="R19" s="4">
        <v>2.5298221280000002</v>
      </c>
      <c r="S19" s="2" t="s">
        <v>20</v>
      </c>
      <c r="T19" s="4">
        <v>2.5298221280000002</v>
      </c>
      <c r="U19" s="4">
        <v>5.0596442560000003</v>
      </c>
    </row>
    <row r="20" spans="1:21" x14ac:dyDescent="0.25">
      <c r="A20" s="2"/>
      <c r="B20" s="2">
        <f>SUM(B2:B19)</f>
        <v>90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4"/>
      <c r="O20" s="2"/>
      <c r="P20" s="2"/>
      <c r="Q20" s="2"/>
      <c r="R20" s="2"/>
      <c r="S20" s="2"/>
      <c r="T20" s="4"/>
      <c r="U20" s="4"/>
    </row>
    <row r="21" spans="1:21" x14ac:dyDescent="0.25">
      <c r="A21" s="2"/>
      <c r="B21" s="6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7">
        <f>SUM(N2:N20)</f>
        <v>206.75201176945168</v>
      </c>
      <c r="O21" s="2"/>
      <c r="P21" s="2"/>
      <c r="Q21" s="2"/>
      <c r="R21" s="2"/>
      <c r="S21" s="2"/>
      <c r="T21" s="4"/>
      <c r="U21" s="4"/>
    </row>
    <row r="22" spans="1:21" ht="3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 t="s">
        <v>34</v>
      </c>
      <c r="N22" s="4">
        <f>+N21/B20</f>
        <v>2.2972445752161299</v>
      </c>
      <c r="O22" s="2"/>
      <c r="P22" s="2"/>
      <c r="Q22" s="2"/>
      <c r="R22" s="2"/>
      <c r="S22" s="2"/>
      <c r="T22" s="4"/>
      <c r="U22" s="4"/>
    </row>
    <row r="25" spans="1:21" x14ac:dyDescent="0.25">
      <c r="A25" s="10" t="s">
        <v>37</v>
      </c>
    </row>
    <row r="26" spans="1:21" x14ac:dyDescent="0.25">
      <c r="A26" s="11"/>
    </row>
    <row r="27" spans="1:21" x14ac:dyDescent="0.25">
      <c r="A27" s="12" t="s">
        <v>39</v>
      </c>
    </row>
    <row r="28" spans="1:21" x14ac:dyDescent="0.25">
      <c r="A28" s="12" t="s">
        <v>40</v>
      </c>
    </row>
    <row r="29" spans="1:21" x14ac:dyDescent="0.25">
      <c r="A29" s="12" t="s">
        <v>41</v>
      </c>
    </row>
    <row r="30" spans="1:21" x14ac:dyDescent="0.25">
      <c r="A30" s="10"/>
    </row>
    <row r="31" spans="1:21" x14ac:dyDescent="0.25">
      <c r="A31" s="10" t="s">
        <v>38</v>
      </c>
    </row>
    <row r="32" spans="1:21" x14ac:dyDescent="0.25">
      <c r="A32" s="11"/>
    </row>
    <row r="33" spans="1:1" x14ac:dyDescent="0.25">
      <c r="A33" s="12" t="s">
        <v>42</v>
      </c>
    </row>
    <row r="34" spans="1:1" x14ac:dyDescent="0.25">
      <c r="A34" s="12" t="s">
        <v>43</v>
      </c>
    </row>
    <row r="35" spans="1:1" x14ac:dyDescent="0.25">
      <c r="A35" s="1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Quant Scoring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BOUKHNIF Fouad</dc:creator>
  <cp:lastModifiedBy>BOUKHNIF Fouad</cp:lastModifiedBy>
  <dcterms:created xsi:type="dcterms:W3CDTF">2026-08-08T15:10:41Z</dcterms:created>
  <dcterms:modified xsi:type="dcterms:W3CDTF">2026-08-12T17:06:15Z</dcterms:modified>
</cp:coreProperties>
</file>