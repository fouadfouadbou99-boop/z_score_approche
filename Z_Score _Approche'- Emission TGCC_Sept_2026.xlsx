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ukhnif\Desktop\"/>
    </mc:Choice>
  </mc:AlternateContent>
  <xr:revisionPtr revIDLastSave="0" documentId="8_{7ECC5A34-CB08-4EA3-A520-1EDC1A0E9296}" xr6:coauthVersionLast="47" xr6:coauthVersionMax="47" xr10:uidLastSave="{00000000-0000-0000-0000-000000000000}"/>
  <bookViews>
    <workbookView xWindow="-80" yWindow="-80" windowWidth="19360" windowHeight="11440" xr2:uid="{6A940F21-E923-4B17-B6A1-13E545653CF1}"/>
  </bookViews>
  <sheets>
    <sheet name="Quant Scoring" sheetId="1" r:id="rId1"/>
    <sheet name="Feuil3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H2" i="1" l="1"/>
  <c r="G2" i="1"/>
  <c r="I2" i="1" s="1"/>
  <c r="H19" i="4"/>
  <c r="G19" i="4"/>
  <c r="D54" i="1"/>
  <c r="C54" i="1"/>
  <c r="B1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I9" i="1" l="1"/>
  <c r="L9" i="1" s="1"/>
  <c r="I11" i="1"/>
  <c r="L11" i="1" s="1"/>
  <c r="I10" i="1"/>
  <c r="L10" i="1" s="1"/>
  <c r="I8" i="1"/>
  <c r="L8" i="1" s="1"/>
  <c r="I7" i="1"/>
  <c r="L7" i="1" s="1"/>
  <c r="I14" i="1"/>
  <c r="L14" i="1" s="1"/>
  <c r="K2" i="1"/>
  <c r="L2" i="1" s="1"/>
  <c r="I13" i="1"/>
  <c r="L13" i="1" s="1"/>
  <c r="I12" i="1"/>
  <c r="L12" i="1" s="1"/>
  <c r="I6" i="1"/>
  <c r="L6" i="1" s="1"/>
  <c r="I5" i="1"/>
  <c r="L5" i="1" s="1"/>
  <c r="I16" i="1"/>
  <c r="L16" i="1" s="1"/>
  <c r="I4" i="1"/>
  <c r="L4" i="1" s="1"/>
  <c r="I15" i="1"/>
  <c r="L15" i="1" s="1"/>
  <c r="I3" i="1"/>
  <c r="L3" i="1" s="1"/>
  <c r="L18" i="1" l="1"/>
  <c r="L19" i="1" s="1"/>
</calcChain>
</file>

<file path=xl/sharedStrings.xml><?xml version="1.0" encoding="utf-8"?>
<sst xmlns="http://schemas.openxmlformats.org/spreadsheetml/2006/main" count="113" uniqueCount="51">
  <si>
    <t>KPI</t>
  </si>
  <si>
    <t>N-3</t>
  </si>
  <si>
    <t>N-2</t>
  </si>
  <si>
    <t>N-1</t>
  </si>
  <si>
    <t>N</t>
  </si>
  <si>
    <t>Z-Score</t>
  </si>
  <si>
    <t>Sens</t>
  </si>
  <si>
    <t>Z Ajusté</t>
  </si>
  <si>
    <t>Score Pondéré</t>
  </si>
  <si>
    <t>Dette nette/EBITDA</t>
  </si>
  <si>
    <t>Bas</t>
  </si>
  <si>
    <t>Dette nette/Fonds propres</t>
  </si>
  <si>
    <t>Gearing</t>
  </si>
  <si>
    <t>Dette/Actif total</t>
  </si>
  <si>
    <t>Fonds propres/Actif</t>
  </si>
  <si>
    <t>Haut</t>
  </si>
  <si>
    <t>FFO/Dette</t>
  </si>
  <si>
    <t>CFO/Dette</t>
  </si>
  <si>
    <t>FCF/Dette</t>
  </si>
  <si>
    <t>Dette/CFO</t>
  </si>
  <si>
    <t>Marge EBITDA %</t>
  </si>
  <si>
    <t>Marge EBIT %</t>
  </si>
  <si>
    <t>ROA %</t>
  </si>
  <si>
    <t>ROE %</t>
  </si>
  <si>
    <t>Liquidité générale</t>
  </si>
  <si>
    <t>Quick Ratio</t>
  </si>
  <si>
    <t>Trésorerie/Dette CT</t>
  </si>
  <si>
    <t>Croissance CA %</t>
  </si>
  <si>
    <t>Score Quantitatif</t>
  </si>
  <si>
    <t>Moyenne</t>
  </si>
  <si>
    <t>Ecart-Type</t>
  </si>
  <si>
    <t>Pour un modèle de scoring obligataire, je recommande les dénominations suivantes :</t>
  </si>
  <si>
    <t>La distinction est importante :</t>
  </si>
  <si>
    <r>
      <t>FFO / Dette</t>
    </r>
    <r>
      <rPr>
        <sz val="11"/>
        <color theme="1"/>
        <rFont val="Candara"/>
        <family val="2"/>
      </rPr>
      <t xml:space="preserve"> → </t>
    </r>
    <r>
      <rPr>
        <b/>
        <sz val="11"/>
        <color theme="1"/>
        <rFont val="Candara"/>
        <family val="2"/>
      </rPr>
      <t>Capacité d'autofinancement / Dette financière</t>
    </r>
  </si>
  <si>
    <r>
      <t>CFO / Dette</t>
    </r>
    <r>
      <rPr>
        <sz val="11"/>
        <color theme="1"/>
        <rFont val="Candara"/>
        <family val="2"/>
      </rPr>
      <t xml:space="preserve"> → </t>
    </r>
    <r>
      <rPr>
        <b/>
        <sz val="11"/>
        <color theme="1"/>
        <rFont val="Candara"/>
        <family val="2"/>
      </rPr>
      <t>Flux de trésorerie d'exploitation / Dette financière</t>
    </r>
  </si>
  <si>
    <r>
      <t>FCF / Dette</t>
    </r>
    <r>
      <rPr>
        <sz val="11"/>
        <color theme="1"/>
        <rFont val="Candara"/>
        <family val="2"/>
      </rPr>
      <t xml:space="preserve"> → </t>
    </r>
    <r>
      <rPr>
        <b/>
        <sz val="11"/>
        <color theme="1"/>
        <rFont val="Candara"/>
        <family val="2"/>
      </rPr>
      <t>Flux de trésorerie disponible / Dette financière</t>
    </r>
  </si>
  <si>
    <r>
      <t>FFO (CAF)</t>
    </r>
    <r>
      <rPr>
        <sz val="11"/>
        <color theme="1"/>
        <rFont val="Candara"/>
        <family val="2"/>
      </rPr>
      <t xml:space="preserve"> : mesure la capacité théorique de génération de ressources avant variation du BFR et investissements.</t>
    </r>
  </si>
  <si>
    <r>
      <t>CFO</t>
    </r>
    <r>
      <rPr>
        <sz val="11"/>
        <color theme="1"/>
        <rFont val="Candara"/>
        <family val="2"/>
      </rPr>
      <t xml:space="preserve"> : mesure les flux réellement encaissés issus de l'exploitation après prise en compte du BFR.</t>
    </r>
  </si>
  <si>
    <r>
      <t>FCF</t>
    </r>
    <r>
      <rPr>
        <sz val="11"/>
        <color theme="1"/>
        <rFont val="Candara"/>
        <family val="2"/>
      </rPr>
      <t xml:space="preserve"> : mesure la trésorerie restant disponible après les investissements nécessaires à l'activité.</t>
    </r>
  </si>
  <si>
    <t>2023</t>
  </si>
  <si>
    <t>2024</t>
  </si>
  <si>
    <t>2025</t>
  </si>
  <si>
    <t>Couverture intérêts</t>
  </si>
  <si>
    <t>Poids proposé</t>
  </si>
  <si>
    <t>Dette/Actif</t>
  </si>
  <si>
    <t>Marge EBITDA</t>
  </si>
  <si>
    <t>Marge EBIT</t>
  </si>
  <si>
    <t>ROA</t>
  </si>
  <si>
    <t>ROE</t>
  </si>
  <si>
    <t>Croissance CA</t>
  </si>
  <si>
    <t xml:space="preserve">Poids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</si>
</sst>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ndara"/>
      <family val="2"/>
    </font>
    <font>
      <sz val="11"/>
      <color rgb="FF000000"/>
      <name val="Candara"/>
      <family val="2"/>
    </font>
    <font>
      <b/>
      <sz val="11"/>
      <color rgb="FFFFFFFF"/>
      <name val="Candara"/>
      <family val="2"/>
    </font>
    <font>
      <b/>
      <sz val="11"/>
      <color theme="1"/>
      <name val="Candara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43" fontId="3" fillId="0" borderId="0" xfId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5" fontId="3" fillId="0" borderId="0" xfId="2" applyNumberFormat="1" applyFont="1" applyAlignment="1">
      <alignment horizontal="center" vertical="center" wrapText="1"/>
    </xf>
    <xf numFmtId="43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3" fillId="3" borderId="0" xfId="0" applyFont="1" applyFill="1" applyAlignment="1">
      <alignment horizontal="center" vertical="center" wrapText="1"/>
    </xf>
    <xf numFmtId="43" fontId="0" fillId="0" borderId="0" xfId="1" applyFont="1"/>
    <xf numFmtId="43" fontId="3" fillId="3" borderId="0" xfId="1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9" fontId="6" fillId="0" borderId="1" xfId="0" applyNumberFormat="1" applyFont="1" applyBorder="1" applyAlignment="1">
      <alignment vertical="center" wrapText="1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BE0E-EDEE-48A3-9445-D41CCA38F6D0}">
  <sheetPr>
    <tabColor rgb="FFC00000"/>
  </sheetPr>
  <dimension ref="A1:L54"/>
  <sheetViews>
    <sheetView tabSelected="1" workbookViewId="0">
      <selection activeCell="F21" sqref="F21"/>
    </sheetView>
  </sheetViews>
  <sheetFormatPr baseColWidth="10" defaultRowHeight="15" x14ac:dyDescent="0.25"/>
  <cols>
    <col min="1" max="1" width="34.7109375" style="1" customWidth="1"/>
    <col min="2" max="6" width="11.5703125" style="1" bestFit="1" customWidth="1"/>
    <col min="7" max="8" width="12.140625" style="1" bestFit="1" customWidth="1"/>
    <col min="9" max="9" width="11.5703125" style="1" bestFit="1" customWidth="1"/>
    <col min="10" max="10" width="11.42578125" style="1"/>
    <col min="11" max="11" width="11.5703125" style="1" bestFit="1" customWidth="1"/>
    <col min="12" max="16384" width="11.42578125" style="1"/>
  </cols>
  <sheetData>
    <row r="1" spans="1:12" ht="30" x14ac:dyDescent="0.25">
      <c r="A1" s="3" t="s">
        <v>0</v>
      </c>
      <c r="B1" s="3" t="s">
        <v>50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29</v>
      </c>
      <c r="H1" s="3" t="s">
        <v>30</v>
      </c>
      <c r="I1" s="3" t="s">
        <v>5</v>
      </c>
      <c r="J1" s="3" t="s">
        <v>6</v>
      </c>
      <c r="K1" s="3" t="s">
        <v>7</v>
      </c>
      <c r="L1" s="3" t="s">
        <v>8</v>
      </c>
    </row>
    <row r="2" spans="1:12" x14ac:dyDescent="0.25">
      <c r="A2" s="11" t="s">
        <v>9</v>
      </c>
      <c r="B2" s="6">
        <v>0.12</v>
      </c>
      <c r="C2" s="4">
        <v>1.195049394968098</v>
      </c>
      <c r="D2" s="4">
        <v>0.5642214833407948</v>
      </c>
      <c r="E2" s="4">
        <v>0.2099344466427352</v>
      </c>
      <c r="F2" s="13">
        <v>0.2099344466427352</v>
      </c>
      <c r="G2" s="4">
        <f>AVERAGE(C2:E2)</f>
        <v>0.65640177498387597</v>
      </c>
      <c r="H2" s="4">
        <f>_xlfn.STDEV.S(C2:E2)</f>
        <v>0.49898473922463127</v>
      </c>
      <c r="I2" s="5">
        <f>+(F2-G2)/H2</f>
        <v>-0.89475146882227918</v>
      </c>
      <c r="J2" s="2" t="s">
        <v>10</v>
      </c>
      <c r="K2" s="4">
        <f>IF(J2="Bas",-I2,I2)</f>
        <v>0.89475146882227918</v>
      </c>
      <c r="L2" s="4">
        <f>K2*B2</f>
        <v>0.1073701762586735</v>
      </c>
    </row>
    <row r="3" spans="1:12" x14ac:dyDescent="0.25">
      <c r="A3" s="11" t="s">
        <v>42</v>
      </c>
      <c r="B3" s="6">
        <v>0.1</v>
      </c>
      <c r="C3" s="4">
        <v>11.37148290556766</v>
      </c>
      <c r="D3" s="4">
        <v>14.03947740112995</v>
      </c>
      <c r="E3" s="4">
        <v>17.29497388306692</v>
      </c>
      <c r="F3" s="13">
        <v>17.29497388306692</v>
      </c>
      <c r="G3" s="4">
        <f t="shared" ref="G3:G16" si="0">AVERAGE(C3:E3)</f>
        <v>14.235311396588179</v>
      </c>
      <c r="H3" s="4">
        <f>_xlfn.STDEV.S(C3:E3)</f>
        <v>2.966597302544038</v>
      </c>
      <c r="I3" s="5">
        <f t="shared" ref="I3:I16" si="1">+(F3-G3)/H3</f>
        <v>1.0313710202105604</v>
      </c>
      <c r="J3" s="2" t="s">
        <v>10</v>
      </c>
      <c r="K3" s="4">
        <f t="shared" ref="K3:K16" si="2">IF(J3="Bas",-I3,I3)</f>
        <v>-1.0313710202105604</v>
      </c>
      <c r="L3" s="4">
        <f>K3*B3</f>
        <v>-0.10313710202105604</v>
      </c>
    </row>
    <row r="4" spans="1:12" x14ac:dyDescent="0.25">
      <c r="A4" s="11" t="s">
        <v>16</v>
      </c>
      <c r="B4" s="6">
        <v>0.1</v>
      </c>
      <c r="C4" s="4">
        <v>1.4443581661891121</v>
      </c>
      <c r="D4" s="4">
        <v>0.86138813349814591</v>
      </c>
      <c r="E4" s="4">
        <v>1.336451371571072</v>
      </c>
      <c r="F4" s="13">
        <v>1.336451371571072</v>
      </c>
      <c r="G4" s="4">
        <f t="shared" si="0"/>
        <v>1.2140658904194435</v>
      </c>
      <c r="H4" s="4">
        <f>_xlfn.STDEV.S(C4:E4)</f>
        <v>0.31015668500205368</v>
      </c>
      <c r="I4" s="5">
        <f t="shared" si="1"/>
        <v>0.39459243366241853</v>
      </c>
      <c r="J4" s="2" t="s">
        <v>10</v>
      </c>
      <c r="K4" s="4">
        <f t="shared" si="2"/>
        <v>-0.39459243366241853</v>
      </c>
      <c r="L4" s="4">
        <f>K4*B4</f>
        <v>-3.9459243366241854E-2</v>
      </c>
    </row>
    <row r="5" spans="1:12" x14ac:dyDescent="0.25">
      <c r="A5" s="11" t="s">
        <v>17</v>
      </c>
      <c r="B5" s="6">
        <v>0.1</v>
      </c>
      <c r="C5" s="4">
        <v>0.7120114613180516</v>
      </c>
      <c r="D5" s="4">
        <v>0.94445364647713226</v>
      </c>
      <c r="E5" s="4">
        <v>1.444082294264339</v>
      </c>
      <c r="F5" s="13">
        <v>1.444082294264339</v>
      </c>
      <c r="G5" s="4">
        <f t="shared" si="0"/>
        <v>1.0335158006865075</v>
      </c>
      <c r="H5" s="4">
        <f>_xlfn.STDEV.S(C5:E5)</f>
        <v>0.37407349090383124</v>
      </c>
      <c r="I5" s="5">
        <f t="shared" si="1"/>
        <v>1.0975557037891841</v>
      </c>
      <c r="J5" s="2" t="s">
        <v>10</v>
      </c>
      <c r="K5" s="4">
        <f t="shared" si="2"/>
        <v>-1.0975557037891841</v>
      </c>
      <c r="L5" s="4">
        <f>K5*B5</f>
        <v>-0.10975557037891842</v>
      </c>
    </row>
    <row r="6" spans="1:12" x14ac:dyDescent="0.25">
      <c r="A6" s="11" t="s">
        <v>18</v>
      </c>
      <c r="B6" s="6">
        <v>0.08</v>
      </c>
      <c r="C6" s="4">
        <v>0.18865902578796559</v>
      </c>
      <c r="D6" s="4">
        <v>0.7679110012360939</v>
      </c>
      <c r="E6" s="4">
        <v>1.156544472152951</v>
      </c>
      <c r="F6" s="13">
        <v>1.156544472152951</v>
      </c>
      <c r="G6" s="4">
        <f t="shared" si="0"/>
        <v>0.70437149972567015</v>
      </c>
      <c r="H6" s="4">
        <f>_xlfn.STDEV.S(C6:E6)</f>
        <v>0.48706109525441643</v>
      </c>
      <c r="I6" s="5">
        <f t="shared" si="1"/>
        <v>0.92837013022172965</v>
      </c>
      <c r="J6" s="2" t="s">
        <v>15</v>
      </c>
      <c r="K6" s="4">
        <f t="shared" si="2"/>
        <v>0.92837013022172965</v>
      </c>
      <c r="L6" s="4">
        <f>K6*B6</f>
        <v>7.4269610417738371E-2</v>
      </c>
    </row>
    <row r="7" spans="1:12" x14ac:dyDescent="0.25">
      <c r="A7" s="11" t="s">
        <v>19</v>
      </c>
      <c r="B7" s="6">
        <v>0.08</v>
      </c>
      <c r="C7" s="4">
        <v>1.404471773739195</v>
      </c>
      <c r="D7" s="4">
        <v>1.0588132130465679</v>
      </c>
      <c r="E7" s="4">
        <v>0.69248131077559638</v>
      </c>
      <c r="F7" s="13">
        <v>0.69248131077559638</v>
      </c>
      <c r="G7" s="4">
        <f t="shared" si="0"/>
        <v>1.0519220991871199</v>
      </c>
      <c r="H7" s="4">
        <f>_xlfn.STDEV.S(C7:E7)</f>
        <v>0.35604525053067043</v>
      </c>
      <c r="I7" s="5">
        <f t="shared" si="1"/>
        <v>-1.00953681554744</v>
      </c>
      <c r="J7" s="2" t="s">
        <v>15</v>
      </c>
      <c r="K7" s="4">
        <f t="shared" si="2"/>
        <v>-1.00953681554744</v>
      </c>
      <c r="L7" s="4">
        <f>K7*B7</f>
        <v>-8.0762945243795209E-2</v>
      </c>
    </row>
    <row r="8" spans="1:12" x14ac:dyDescent="0.25">
      <c r="A8" s="11" t="s">
        <v>14</v>
      </c>
      <c r="B8" s="6">
        <v>0.08</v>
      </c>
      <c r="C8" s="4">
        <v>0.2136715993116837</v>
      </c>
      <c r="D8" s="4">
        <v>0.20425295883629499</v>
      </c>
      <c r="E8" s="4">
        <v>0.31165265719976032</v>
      </c>
      <c r="F8" s="13">
        <v>0.31165265719976032</v>
      </c>
      <c r="G8" s="4">
        <f t="shared" si="0"/>
        <v>0.243192405115913</v>
      </c>
      <c r="H8" s="4">
        <f>_xlfn.STDEV.S(C8:E8)</f>
        <v>5.9475055978444449E-2</v>
      </c>
      <c r="I8" s="5">
        <f t="shared" si="1"/>
        <v>1.1510750340219835</v>
      </c>
      <c r="J8" s="2" t="s">
        <v>15</v>
      </c>
      <c r="K8" s="4">
        <f t="shared" si="2"/>
        <v>1.1510750340219835</v>
      </c>
      <c r="L8" s="4">
        <f>K8*B8</f>
        <v>9.2086002721758681E-2</v>
      </c>
    </row>
    <row r="9" spans="1:12" x14ac:dyDescent="0.25">
      <c r="A9" s="2" t="s">
        <v>44</v>
      </c>
      <c r="B9" s="6">
        <v>7.0000000000000007E-2</v>
      </c>
      <c r="C9" s="4">
        <v>5.0318890562180231E-2</v>
      </c>
      <c r="D9" s="4">
        <v>9.3485591201029852E-2</v>
      </c>
      <c r="E9" s="4">
        <v>7.6769738709121002E-2</v>
      </c>
      <c r="F9" s="13">
        <v>7.6769738709121002E-2</v>
      </c>
      <c r="G9" s="4">
        <f t="shared" si="0"/>
        <v>7.3524740157443702E-2</v>
      </c>
      <c r="H9" s="4">
        <f>_xlfn.STDEV.S(C9:E9)</f>
        <v>2.176553520387919E-2</v>
      </c>
      <c r="I9" s="5">
        <f t="shared" si="1"/>
        <v>0.14908884717426824</v>
      </c>
      <c r="J9" s="2" t="s">
        <v>15</v>
      </c>
      <c r="K9" s="4">
        <f t="shared" si="2"/>
        <v>0.14908884717426824</v>
      </c>
      <c r="L9" s="4">
        <f>K9*B9</f>
        <v>1.0436219302198778E-2</v>
      </c>
    </row>
    <row r="10" spans="1:12" x14ac:dyDescent="0.25">
      <c r="A10" s="2" t="s">
        <v>24</v>
      </c>
      <c r="B10" s="6">
        <v>0.05</v>
      </c>
      <c r="C10" s="4">
        <v>1.2230923341569351</v>
      </c>
      <c r="D10" s="4">
        <v>1.3021868165735431</v>
      </c>
      <c r="E10" s="4">
        <v>1.233199460278269</v>
      </c>
      <c r="F10" s="13">
        <v>1.233199460278269</v>
      </c>
      <c r="G10" s="4">
        <f t="shared" si="0"/>
        <v>1.2528262036695823</v>
      </c>
      <c r="H10" s="4">
        <f>_xlfn.STDEV.S(C10:E10)</f>
        <v>4.3045221329424309E-2</v>
      </c>
      <c r="I10" s="5">
        <f t="shared" si="1"/>
        <v>-0.45595638226854968</v>
      </c>
      <c r="J10" s="2" t="s">
        <v>15</v>
      </c>
      <c r="K10" s="4">
        <f t="shared" si="2"/>
        <v>-0.45595638226854968</v>
      </c>
      <c r="L10" s="4">
        <f>K10*B10</f>
        <v>-2.2797819113427487E-2</v>
      </c>
    </row>
    <row r="11" spans="1:12" x14ac:dyDescent="0.25">
      <c r="A11" s="2" t="s">
        <v>25</v>
      </c>
      <c r="B11" s="6">
        <v>0.05</v>
      </c>
      <c r="C11" s="4">
        <v>0.96936761564344553</v>
      </c>
      <c r="D11" s="4">
        <v>1.0164293025950519</v>
      </c>
      <c r="E11" s="4">
        <v>1.038192898449902</v>
      </c>
      <c r="F11" s="13">
        <v>1.038192898449902</v>
      </c>
      <c r="G11" s="4">
        <f t="shared" si="0"/>
        <v>1.0079966055627998</v>
      </c>
      <c r="H11" s="4">
        <f>_xlfn.STDEV.S(C11:E11)</f>
        <v>3.5179008979439631E-2</v>
      </c>
      <c r="I11" s="5">
        <f t="shared" si="1"/>
        <v>0.85836110121096532</v>
      </c>
      <c r="J11" s="2" t="s">
        <v>10</v>
      </c>
      <c r="K11" s="4">
        <f t="shared" si="2"/>
        <v>-0.85836110121096532</v>
      </c>
      <c r="L11" s="4">
        <f>K11*B11</f>
        <v>-4.2918055060548271E-2</v>
      </c>
    </row>
    <row r="12" spans="1:12" x14ac:dyDescent="0.25">
      <c r="A12" s="2" t="s">
        <v>26</v>
      </c>
      <c r="B12" s="6">
        <v>0.05</v>
      </c>
      <c r="C12" s="4">
        <v>0.24419713537085561</v>
      </c>
      <c r="D12" s="4">
        <v>1.2221862164371711</v>
      </c>
      <c r="E12" s="4">
        <v>1.4294365764629171</v>
      </c>
      <c r="F12" s="13">
        <v>1.4294365764629171</v>
      </c>
      <c r="G12" s="4">
        <f t="shared" si="0"/>
        <v>0.96527330942364797</v>
      </c>
      <c r="H12" s="4">
        <f>_xlfn.STDEV.S(C12:E12)</f>
        <v>0.63300972703637004</v>
      </c>
      <c r="I12" s="5">
        <f t="shared" si="1"/>
        <v>0.73326403562926656</v>
      </c>
      <c r="J12" s="2" t="s">
        <v>15</v>
      </c>
      <c r="K12" s="4">
        <f t="shared" si="2"/>
        <v>0.73326403562926656</v>
      </c>
      <c r="L12" s="4">
        <f>K12*B12</f>
        <v>3.6663201781463331E-2</v>
      </c>
    </row>
    <row r="13" spans="1:12" x14ac:dyDescent="0.25">
      <c r="A13" s="2" t="s">
        <v>45</v>
      </c>
      <c r="B13" s="6">
        <v>0.05</v>
      </c>
      <c r="C13" s="4">
        <v>0.11931545591267741</v>
      </c>
      <c r="D13" s="4">
        <v>0.1570122555210923</v>
      </c>
      <c r="E13" s="4">
        <v>0.22117822634259049</v>
      </c>
      <c r="F13" s="13">
        <v>0.22117822634259049</v>
      </c>
      <c r="G13" s="4">
        <f t="shared" si="0"/>
        <v>0.16583531259212006</v>
      </c>
      <c r="H13" s="4">
        <f>_xlfn.STDEV.S(C13:E13)</f>
        <v>5.1501366505882655E-2</v>
      </c>
      <c r="I13" s="5">
        <f t="shared" si="1"/>
        <v>1.0745911711711373</v>
      </c>
      <c r="J13" s="2" t="s">
        <v>15</v>
      </c>
      <c r="K13" s="4">
        <f t="shared" si="2"/>
        <v>1.0745911711711373</v>
      </c>
      <c r="L13" s="4">
        <f>K13*B13</f>
        <v>5.3729558558556871E-2</v>
      </c>
    </row>
    <row r="14" spans="1:12" x14ac:dyDescent="0.25">
      <c r="A14" s="2" t="s">
        <v>46</v>
      </c>
      <c r="B14" s="6">
        <v>0.03</v>
      </c>
      <c r="C14" s="4">
        <v>8.4691510647774179E-2</v>
      </c>
      <c r="D14" s="4">
        <v>0.12024556061015521</v>
      </c>
      <c r="E14" s="4">
        <v>0.18936010395611899</v>
      </c>
      <c r="F14" s="13">
        <v>0.18936010395611899</v>
      </c>
      <c r="G14" s="4">
        <f t="shared" si="0"/>
        <v>0.13143239173801613</v>
      </c>
      <c r="H14" s="4">
        <f>_xlfn.STDEV.S(C14:E14)</f>
        <v>5.3223467561775588E-2</v>
      </c>
      <c r="I14" s="5">
        <f t="shared" si="1"/>
        <v>1.0883866623471523</v>
      </c>
      <c r="J14" s="2" t="s">
        <v>15</v>
      </c>
      <c r="K14" s="4">
        <f t="shared" si="2"/>
        <v>1.0883866623471523</v>
      </c>
      <c r="L14" s="4">
        <f>K14*B14</f>
        <v>3.265159987041457E-2</v>
      </c>
    </row>
    <row r="15" spans="1:12" x14ac:dyDescent="0.25">
      <c r="A15" s="2" t="s">
        <v>47</v>
      </c>
      <c r="B15" s="6">
        <v>0.02</v>
      </c>
      <c r="C15" s="4">
        <v>5.2276280987028828E-2</v>
      </c>
      <c r="D15" s="4">
        <v>6.0298784109529519E-2</v>
      </c>
      <c r="E15" s="4">
        <v>6.0755494636105377E-2</v>
      </c>
      <c r="F15" s="13">
        <v>6.0755494636105377E-2</v>
      </c>
      <c r="G15" s="4">
        <f t="shared" si="0"/>
        <v>5.7776853244221243E-2</v>
      </c>
      <c r="H15" s="4">
        <f>_xlfn.STDEV.S(C15:E15)</f>
        <v>4.7691055234412071E-3</v>
      </c>
      <c r="I15" s="5">
        <f t="shared" si="1"/>
        <v>0.62457024220652135</v>
      </c>
      <c r="J15" s="2" t="s">
        <v>15</v>
      </c>
      <c r="K15" s="4">
        <f t="shared" si="2"/>
        <v>0.62457024220652135</v>
      </c>
      <c r="L15" s="4">
        <f>K15*B15</f>
        <v>1.2491404844130428E-2</v>
      </c>
    </row>
    <row r="16" spans="1:12" x14ac:dyDescent="0.25">
      <c r="A16" s="2" t="s">
        <v>48</v>
      </c>
      <c r="B16" s="6">
        <v>0.02</v>
      </c>
      <c r="C16" s="4">
        <v>0.24528525261791351</v>
      </c>
      <c r="D16" s="4">
        <v>0.29627791675987858</v>
      </c>
      <c r="E16" s="4">
        <v>0.20951289642936841</v>
      </c>
      <c r="F16" s="13">
        <v>0.20951289642936841</v>
      </c>
      <c r="G16" s="4">
        <f t="shared" si="0"/>
        <v>0.2503586886023868</v>
      </c>
      <c r="H16" s="4">
        <f>_xlfn.STDEV.S(C16:E16)</f>
        <v>4.3604437879129661E-2</v>
      </c>
      <c r="I16" s="5">
        <f t="shared" si="1"/>
        <v>-0.93673474902352472</v>
      </c>
      <c r="J16" s="2" t="s">
        <v>15</v>
      </c>
      <c r="K16" s="4">
        <f t="shared" si="2"/>
        <v>-0.93673474902352472</v>
      </c>
      <c r="L16" s="4">
        <f>K16*B16</f>
        <v>-1.8734694980470496E-2</v>
      </c>
    </row>
    <row r="17" spans="1:12" x14ac:dyDescent="0.25">
      <c r="A17" s="2"/>
      <c r="B17" s="6">
        <f>SUM(B2:B16)</f>
        <v>1.0000000000000002</v>
      </c>
      <c r="C17" s="2"/>
      <c r="D17" s="2"/>
      <c r="E17" s="2"/>
      <c r="F17" s="2"/>
      <c r="G17" s="2"/>
      <c r="H17" s="2"/>
      <c r="I17" s="2"/>
      <c r="J17" s="2"/>
      <c r="K17" s="2"/>
      <c r="L17" s="4"/>
    </row>
    <row r="18" spans="1:12" x14ac:dyDescent="0.25">
      <c r="A18" s="2"/>
      <c r="B18" s="6"/>
      <c r="C18" s="2"/>
      <c r="D18" s="2"/>
      <c r="E18" s="2"/>
      <c r="F18" s="2"/>
      <c r="G18" s="2"/>
      <c r="H18" s="2"/>
      <c r="I18" s="2"/>
      <c r="J18" s="2"/>
      <c r="K18" s="2"/>
      <c r="L18" s="7">
        <f>SUM(L2:L17)</f>
        <v>2.13234359047677E-3</v>
      </c>
    </row>
    <row r="19" spans="1:12" ht="3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 t="s">
        <v>28</v>
      </c>
      <c r="L19" s="4">
        <f>+L18/B17</f>
        <v>2.1323435904767696E-3</v>
      </c>
    </row>
    <row r="22" spans="1:12" x14ac:dyDescent="0.25">
      <c r="A22" s="8" t="s">
        <v>31</v>
      </c>
    </row>
    <row r="23" spans="1:12" x14ac:dyDescent="0.25">
      <c r="A23" s="9"/>
    </row>
    <row r="24" spans="1:12" x14ac:dyDescent="0.25">
      <c r="A24" s="10" t="s">
        <v>33</v>
      </c>
    </row>
    <row r="25" spans="1:12" x14ac:dyDescent="0.25">
      <c r="A25" s="10" t="s">
        <v>34</v>
      </c>
    </row>
    <row r="26" spans="1:12" x14ac:dyDescent="0.25">
      <c r="A26" s="10" t="s">
        <v>35</v>
      </c>
    </row>
    <row r="27" spans="1:12" x14ac:dyDescent="0.25">
      <c r="A27" s="8"/>
    </row>
    <row r="28" spans="1:12" x14ac:dyDescent="0.25">
      <c r="A28" s="8" t="s">
        <v>32</v>
      </c>
    </row>
    <row r="29" spans="1:12" x14ac:dyDescent="0.25">
      <c r="A29" s="9"/>
    </row>
    <row r="30" spans="1:12" x14ac:dyDescent="0.25">
      <c r="A30" s="10" t="s">
        <v>36</v>
      </c>
    </row>
    <row r="31" spans="1:12" x14ac:dyDescent="0.25">
      <c r="A31" s="10" t="s">
        <v>37</v>
      </c>
    </row>
    <row r="32" spans="1:12" x14ac:dyDescent="0.25">
      <c r="A32" s="10" t="s">
        <v>38</v>
      </c>
    </row>
    <row r="36" spans="1:4" x14ac:dyDescent="0.25">
      <c r="A36" t="s">
        <v>0</v>
      </c>
      <c r="B36" t="s">
        <v>39</v>
      </c>
      <c r="C36" t="s">
        <v>40</v>
      </c>
      <c r="D36" t="s">
        <v>41</v>
      </c>
    </row>
    <row r="37" spans="1:4" x14ac:dyDescent="0.25">
      <c r="A37" t="s">
        <v>9</v>
      </c>
      <c r="B37" s="12">
        <v>1.195049394968098</v>
      </c>
      <c r="C37" s="12">
        <v>0.5642214833407948</v>
      </c>
      <c r="D37" s="12">
        <v>0.2099344466427352</v>
      </c>
    </row>
    <row r="38" spans="1:4" x14ac:dyDescent="0.25">
      <c r="A38" t="s">
        <v>11</v>
      </c>
      <c r="B38" s="12">
        <v>0.66230048958821686</v>
      </c>
      <c r="C38" s="12">
        <v>0.38212191789999872</v>
      </c>
      <c r="D38" s="12">
        <v>0.1219156335013598</v>
      </c>
    </row>
    <row r="39" spans="1:4" x14ac:dyDescent="0.25">
      <c r="A39" t="s">
        <v>12</v>
      </c>
      <c r="B39" s="12">
        <v>0.66230048958821686</v>
      </c>
      <c r="C39" s="12">
        <v>0.38212191789999872</v>
      </c>
      <c r="D39" s="12">
        <v>0.1219156335013598</v>
      </c>
    </row>
    <row r="40" spans="1:4" x14ac:dyDescent="0.25">
      <c r="A40" t="s">
        <v>13</v>
      </c>
      <c r="B40" s="12">
        <v>5.0318890562180231E-2</v>
      </c>
      <c r="C40" s="12">
        <v>9.3485591201029852E-2</v>
      </c>
      <c r="D40" s="12">
        <v>7.6769738709121002E-2</v>
      </c>
    </row>
    <row r="41" spans="1:4" x14ac:dyDescent="0.25">
      <c r="A41" t="s">
        <v>14</v>
      </c>
      <c r="B41" s="12">
        <v>0.2136715993116837</v>
      </c>
      <c r="C41" s="12">
        <v>0.20425295883629499</v>
      </c>
      <c r="D41" s="12">
        <v>0.31165265719976032</v>
      </c>
    </row>
    <row r="42" spans="1:4" x14ac:dyDescent="0.25">
      <c r="A42" t="s">
        <v>42</v>
      </c>
      <c r="B42" s="12">
        <v>11.37148290556766</v>
      </c>
      <c r="C42" s="12">
        <v>14.03947740112995</v>
      </c>
      <c r="D42" s="12">
        <v>17.29497388306692</v>
      </c>
    </row>
    <row r="43" spans="1:4" x14ac:dyDescent="0.25">
      <c r="A43" t="s">
        <v>16</v>
      </c>
      <c r="B43" s="12">
        <v>1.4443581661891121</v>
      </c>
      <c r="C43" s="12">
        <v>0.86138813349814591</v>
      </c>
      <c r="D43" s="12">
        <v>1.336451371571072</v>
      </c>
    </row>
    <row r="44" spans="1:4" x14ac:dyDescent="0.25">
      <c r="A44" t="s">
        <v>17</v>
      </c>
      <c r="B44" s="12">
        <v>0.7120114613180516</v>
      </c>
      <c r="C44" s="12">
        <v>0.94445364647713226</v>
      </c>
      <c r="D44" s="12">
        <v>1.444082294264339</v>
      </c>
    </row>
    <row r="45" spans="1:4" x14ac:dyDescent="0.25">
      <c r="A45" t="s">
        <v>18</v>
      </c>
      <c r="B45" s="12">
        <v>0.18865902578796559</v>
      </c>
      <c r="C45" s="12">
        <v>0.7679110012360939</v>
      </c>
      <c r="D45" s="12">
        <v>1.156544472152951</v>
      </c>
    </row>
    <row r="46" spans="1:4" x14ac:dyDescent="0.25">
      <c r="A46" t="s">
        <v>19</v>
      </c>
      <c r="B46" s="12">
        <v>1.404471773739195</v>
      </c>
      <c r="C46" s="12">
        <v>1.0588132130465679</v>
      </c>
      <c r="D46" s="12">
        <v>0.69248131077559638</v>
      </c>
    </row>
    <row r="47" spans="1:4" x14ac:dyDescent="0.25">
      <c r="A47" t="s">
        <v>20</v>
      </c>
      <c r="B47" s="12">
        <v>0.11931545591267741</v>
      </c>
      <c r="C47" s="12">
        <v>0.1570122555210923</v>
      </c>
      <c r="D47" s="12">
        <v>0.22117822634259049</v>
      </c>
    </row>
    <row r="48" spans="1:4" x14ac:dyDescent="0.25">
      <c r="A48" t="s">
        <v>21</v>
      </c>
      <c r="B48" s="12">
        <v>8.4691510647774179E-2</v>
      </c>
      <c r="C48" s="12">
        <v>0.12024556061015521</v>
      </c>
      <c r="D48" s="12">
        <v>0.18936010395611899</v>
      </c>
    </row>
    <row r="49" spans="1:4" x14ac:dyDescent="0.25">
      <c r="A49" t="s">
        <v>22</v>
      </c>
      <c r="B49" s="12">
        <v>5.2276280987028828E-2</v>
      </c>
      <c r="C49" s="12">
        <v>6.0298784109529519E-2</v>
      </c>
      <c r="D49" s="12">
        <v>6.0755494636105377E-2</v>
      </c>
    </row>
    <row r="50" spans="1:4" x14ac:dyDescent="0.25">
      <c r="A50" t="s">
        <v>23</v>
      </c>
      <c r="B50" s="12">
        <v>0.24528525261791351</v>
      </c>
      <c r="C50" s="12">
        <v>0.29627791675987858</v>
      </c>
      <c r="D50" s="12">
        <v>0.20951289642936841</v>
      </c>
    </row>
    <row r="51" spans="1:4" x14ac:dyDescent="0.25">
      <c r="A51" t="s">
        <v>24</v>
      </c>
      <c r="B51" s="12">
        <v>1.2230923341569351</v>
      </c>
      <c r="C51" s="12">
        <v>1.3021868165735431</v>
      </c>
      <c r="D51" s="12">
        <v>1.233199460278269</v>
      </c>
    </row>
    <row r="52" spans="1:4" x14ac:dyDescent="0.25">
      <c r="A52" t="s">
        <v>25</v>
      </c>
      <c r="B52" s="12">
        <v>0.96936761564344553</v>
      </c>
      <c r="C52" s="12">
        <v>1.0164293025950519</v>
      </c>
      <c r="D52" s="12">
        <v>1.038192898449902</v>
      </c>
    </row>
    <row r="53" spans="1:4" x14ac:dyDescent="0.25">
      <c r="A53" t="s">
        <v>26</v>
      </c>
      <c r="B53" s="12">
        <v>0.24419713537085561</v>
      </c>
      <c r="C53" s="12">
        <v>1.2221862164371711</v>
      </c>
      <c r="D53" s="12">
        <v>1.4294365764629171</v>
      </c>
    </row>
    <row r="54" spans="1:4" x14ac:dyDescent="0.25">
      <c r="A54" t="s">
        <v>27</v>
      </c>
      <c r="B54" s="12"/>
      <c r="C54" s="12">
        <f>(C47-B47)/B47</f>
        <v>0.31594230035045745</v>
      </c>
      <c r="D54" s="12">
        <f>(D47-C47)/C47</f>
        <v>0.40866855016217785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75FB-7093-4C84-84A3-D64A29FED4CD}">
  <dimension ref="B2:H25"/>
  <sheetViews>
    <sheetView workbookViewId="0">
      <selection activeCell="F4" sqref="F4:H19"/>
    </sheetView>
  </sheetViews>
  <sheetFormatPr baseColWidth="10" defaultRowHeight="15" x14ac:dyDescent="0.25"/>
  <cols>
    <col min="2" max="2" width="29.5703125" customWidth="1"/>
    <col min="3" max="3" width="25.7109375" customWidth="1"/>
    <col min="5" max="5" width="25" bestFit="1" customWidth="1"/>
  </cols>
  <sheetData>
    <row r="2" spans="2:8" ht="15.75" thickBot="1" x14ac:dyDescent="0.3"/>
    <row r="3" spans="2:8" ht="17.25" thickBot="1" x14ac:dyDescent="0.3">
      <c r="B3" s="14" t="s">
        <v>0</v>
      </c>
      <c r="C3" s="14" t="s">
        <v>43</v>
      </c>
      <c r="E3" s="17" t="s">
        <v>0</v>
      </c>
      <c r="F3" s="17" t="s">
        <v>39</v>
      </c>
      <c r="G3" s="17" t="s">
        <v>40</v>
      </c>
      <c r="H3" s="17" t="s">
        <v>41</v>
      </c>
    </row>
    <row r="4" spans="2:8" ht="17.25" thickBot="1" x14ac:dyDescent="0.3">
      <c r="B4" s="15" t="s">
        <v>9</v>
      </c>
      <c r="C4" s="16">
        <v>0.12</v>
      </c>
      <c r="E4" s="17" t="s">
        <v>9</v>
      </c>
      <c r="F4" s="18">
        <v>1.195049394968098</v>
      </c>
      <c r="G4" s="18">
        <v>0.5642214833407948</v>
      </c>
      <c r="H4" s="18">
        <v>0.2099344466427352</v>
      </c>
    </row>
    <row r="5" spans="2:8" ht="17.25" thickBot="1" x14ac:dyDescent="0.3">
      <c r="B5" s="15" t="s">
        <v>42</v>
      </c>
      <c r="C5" s="16">
        <v>0.1</v>
      </c>
      <c r="E5" s="17" t="s">
        <v>42</v>
      </c>
      <c r="F5" s="18">
        <v>11.37148290556766</v>
      </c>
      <c r="G5" s="18">
        <v>14.03947740112995</v>
      </c>
      <c r="H5" s="18">
        <v>17.29497388306692</v>
      </c>
    </row>
    <row r="6" spans="2:8" ht="17.25" thickBot="1" x14ac:dyDescent="0.3">
      <c r="B6" s="15" t="s">
        <v>16</v>
      </c>
      <c r="C6" s="16">
        <v>0.1</v>
      </c>
      <c r="E6" s="17" t="s">
        <v>16</v>
      </c>
      <c r="F6" s="18">
        <v>1.4443581661891121</v>
      </c>
      <c r="G6" s="18">
        <v>0.86138813349814591</v>
      </c>
      <c r="H6" s="18">
        <v>1.336451371571072</v>
      </c>
    </row>
    <row r="7" spans="2:8" ht="17.25" thickBot="1" x14ac:dyDescent="0.3">
      <c r="B7" s="15" t="s">
        <v>17</v>
      </c>
      <c r="C7" s="16">
        <v>0.1</v>
      </c>
      <c r="E7" s="17" t="s">
        <v>17</v>
      </c>
      <c r="F7" s="18">
        <v>0.7120114613180516</v>
      </c>
      <c r="G7" s="18">
        <v>0.94445364647713226</v>
      </c>
      <c r="H7" s="18">
        <v>1.444082294264339</v>
      </c>
    </row>
    <row r="8" spans="2:8" ht="17.25" thickBot="1" x14ac:dyDescent="0.3">
      <c r="B8" s="15" t="s">
        <v>18</v>
      </c>
      <c r="C8" s="16">
        <v>0.08</v>
      </c>
      <c r="E8" s="17" t="s">
        <v>18</v>
      </c>
      <c r="F8" s="18">
        <v>0.18865902578796559</v>
      </c>
      <c r="G8" s="18">
        <v>0.7679110012360939</v>
      </c>
      <c r="H8" s="18">
        <v>1.156544472152951</v>
      </c>
    </row>
    <row r="9" spans="2:8" ht="17.25" thickBot="1" x14ac:dyDescent="0.3">
      <c r="B9" s="15" t="s">
        <v>19</v>
      </c>
      <c r="C9" s="16">
        <v>0.08</v>
      </c>
      <c r="E9" s="17" t="s">
        <v>19</v>
      </c>
      <c r="F9" s="18">
        <v>1.404471773739195</v>
      </c>
      <c r="G9" s="18">
        <v>1.0588132130465679</v>
      </c>
      <c r="H9" s="18">
        <v>0.69248131077559638</v>
      </c>
    </row>
    <row r="10" spans="2:8" ht="17.25" thickBot="1" x14ac:dyDescent="0.3">
      <c r="B10" s="15" t="s">
        <v>14</v>
      </c>
      <c r="C10" s="16">
        <v>0.08</v>
      </c>
      <c r="E10" s="17" t="s">
        <v>14</v>
      </c>
      <c r="F10" s="18">
        <v>0.2136715993116837</v>
      </c>
      <c r="G10" s="18">
        <v>0.20425295883629499</v>
      </c>
      <c r="H10" s="18">
        <v>0.31165265719976032</v>
      </c>
    </row>
    <row r="11" spans="2:8" ht="17.25" thickBot="1" x14ac:dyDescent="0.3">
      <c r="B11" s="15" t="s">
        <v>44</v>
      </c>
      <c r="C11" s="16">
        <v>7.0000000000000007E-2</v>
      </c>
      <c r="E11" s="17" t="s">
        <v>13</v>
      </c>
      <c r="F11" s="18">
        <v>5.0318890562180231E-2</v>
      </c>
      <c r="G11" s="18">
        <v>9.3485591201029852E-2</v>
      </c>
      <c r="H11" s="18">
        <v>7.6769738709121002E-2</v>
      </c>
    </row>
    <row r="12" spans="2:8" ht="17.25" thickBot="1" x14ac:dyDescent="0.3">
      <c r="B12" s="15" t="s">
        <v>24</v>
      </c>
      <c r="C12" s="16">
        <v>0.05</v>
      </c>
      <c r="E12" s="17" t="s">
        <v>24</v>
      </c>
      <c r="F12" s="18">
        <v>1.2230923341569351</v>
      </c>
      <c r="G12" s="18">
        <v>1.3021868165735431</v>
      </c>
      <c r="H12" s="18">
        <v>1.233199460278269</v>
      </c>
    </row>
    <row r="13" spans="2:8" ht="17.25" thickBot="1" x14ac:dyDescent="0.3">
      <c r="B13" s="15" t="s">
        <v>25</v>
      </c>
      <c r="C13" s="16">
        <v>0.05</v>
      </c>
      <c r="E13" s="17" t="s">
        <v>25</v>
      </c>
      <c r="F13" s="18">
        <v>0.96936761564344553</v>
      </c>
      <c r="G13" s="18">
        <v>1.0164293025950519</v>
      </c>
      <c r="H13" s="18">
        <v>1.038192898449902</v>
      </c>
    </row>
    <row r="14" spans="2:8" ht="17.25" thickBot="1" x14ac:dyDescent="0.3">
      <c r="B14" s="15" t="s">
        <v>26</v>
      </c>
      <c r="C14" s="16">
        <v>0.05</v>
      </c>
      <c r="E14" s="17" t="s">
        <v>26</v>
      </c>
      <c r="F14" s="18">
        <v>0.24419713537085561</v>
      </c>
      <c r="G14" s="18">
        <v>1.2221862164371711</v>
      </c>
      <c r="H14" s="18">
        <v>1.4294365764629171</v>
      </c>
    </row>
    <row r="15" spans="2:8" ht="17.25" thickBot="1" x14ac:dyDescent="0.3">
      <c r="B15" s="15" t="s">
        <v>45</v>
      </c>
      <c r="C15" s="16">
        <v>0.05</v>
      </c>
      <c r="E15" s="17" t="s">
        <v>20</v>
      </c>
      <c r="F15" s="18">
        <v>0.11931545591267741</v>
      </c>
      <c r="G15" s="18">
        <v>0.1570122555210923</v>
      </c>
      <c r="H15" s="18">
        <v>0.22117822634259049</v>
      </c>
    </row>
    <row r="16" spans="2:8" ht="17.25" thickBot="1" x14ac:dyDescent="0.3">
      <c r="B16" s="15" t="s">
        <v>46</v>
      </c>
      <c r="C16" s="16">
        <v>0.03</v>
      </c>
      <c r="E16" s="17" t="s">
        <v>21</v>
      </c>
      <c r="F16" s="18">
        <v>8.4691510647774179E-2</v>
      </c>
      <c r="G16" s="18">
        <v>0.12024556061015521</v>
      </c>
      <c r="H16" s="18">
        <v>0.18936010395611899</v>
      </c>
    </row>
    <row r="17" spans="2:8" ht="17.25" thickBot="1" x14ac:dyDescent="0.3">
      <c r="B17" s="15" t="s">
        <v>47</v>
      </c>
      <c r="C17" s="16">
        <v>0.02</v>
      </c>
      <c r="E17" s="17" t="s">
        <v>22</v>
      </c>
      <c r="F17" s="18">
        <v>5.2276280987028828E-2</v>
      </c>
      <c r="G17" s="18">
        <v>6.0298784109529519E-2</v>
      </c>
      <c r="H17" s="18">
        <v>6.0755494636105377E-2</v>
      </c>
    </row>
    <row r="18" spans="2:8" ht="17.25" thickBot="1" x14ac:dyDescent="0.3">
      <c r="B18" s="15" t="s">
        <v>48</v>
      </c>
      <c r="C18" s="16">
        <v>0.01</v>
      </c>
      <c r="E18" s="17" t="s">
        <v>23</v>
      </c>
      <c r="F18" s="18">
        <v>0.24528525261791351</v>
      </c>
      <c r="G18" s="18">
        <v>0.29627791675987858</v>
      </c>
      <c r="H18" s="18">
        <v>0.20951289642936841</v>
      </c>
    </row>
    <row r="19" spans="2:8" ht="17.25" thickBot="1" x14ac:dyDescent="0.3">
      <c r="B19" s="15" t="s">
        <v>49</v>
      </c>
      <c r="C19" s="16">
        <v>0.01</v>
      </c>
      <c r="E19" s="17" t="s">
        <v>27</v>
      </c>
      <c r="F19" s="18"/>
      <c r="G19" s="18">
        <f>(G15-F15)/F15</f>
        <v>0.31594230035045745</v>
      </c>
      <c r="H19" s="18">
        <f>(H15-G15)/G15</f>
        <v>0.40866855016217785</v>
      </c>
    </row>
    <row r="24" spans="2:8" x14ac:dyDescent="0.25">
      <c r="E24" s="17" t="s">
        <v>11</v>
      </c>
      <c r="F24" s="18">
        <v>0.66230048958821686</v>
      </c>
      <c r="G24" s="18">
        <v>0.38212191789999872</v>
      </c>
      <c r="H24" s="18">
        <v>0.1219156335013598</v>
      </c>
    </row>
    <row r="25" spans="2:8" x14ac:dyDescent="0.25">
      <c r="E25" s="17" t="s">
        <v>12</v>
      </c>
      <c r="F25" s="18">
        <v>0.66230048958821686</v>
      </c>
      <c r="G25" s="18">
        <v>0.38212191789999872</v>
      </c>
      <c r="H25" s="18">
        <v>0.1219156335013598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Quant Scoring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BOUKHNIF Fouad</dc:creator>
  <cp:lastModifiedBy>BOUKHNIF Fouad</cp:lastModifiedBy>
  <dcterms:created xsi:type="dcterms:W3CDTF">2026-08-08T15:10:41Z</dcterms:created>
  <dcterms:modified xsi:type="dcterms:W3CDTF">2026-09-09T19:30:30Z</dcterms:modified>
</cp:coreProperties>
</file>